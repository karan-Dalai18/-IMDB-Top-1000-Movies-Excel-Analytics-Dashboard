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13_ncr:1_{2F2148CC-62FA-4F0A-9010-267A6483767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 Dashboard" sheetId="2" r:id="rId1"/>
    <sheet name="Financial Dashboard" sheetId="1" r:id="rId2"/>
    <sheet name="Deep Dive Analysis" sheetId="3" r:id="rId3"/>
    <sheet name="Interactive Controls" sheetId="4" r:id="rId4"/>
    <sheet name="RawData" sheetId="6" r:id="rId5"/>
    <sheet name="_HelperData" sheetId="7" state="hidden" r:id="rId6"/>
    <sheet name="_ScatterData" sheetId="8" state="hidden" r:id="rId7"/>
  </sheets>
  <definedNames>
    <definedName name="_xlnm._FilterDatabase" localSheetId="4" hidden="1">RawData!$A$1:$P$1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4" l="1"/>
  <c r="C40" i="4"/>
  <c r="E23" i="1"/>
  <c r="E22" i="1"/>
  <c r="E21" i="1"/>
  <c r="E20" i="1"/>
  <c r="E19" i="1"/>
  <c r="E18" i="1"/>
  <c r="H14" i="1"/>
  <c r="B8" i="2"/>
  <c r="C39" i="4"/>
  <c r="C38" i="4"/>
  <c r="C37" i="4"/>
  <c r="C29" i="4"/>
  <c r="C28" i="4"/>
  <c r="C27" i="4"/>
  <c r="C26" i="4"/>
  <c r="C19" i="4"/>
  <c r="C18" i="4"/>
  <c r="C17" i="4"/>
  <c r="C16" i="4"/>
  <c r="C15" i="4"/>
  <c r="C14" i="4"/>
  <c r="C13" i="4"/>
  <c r="C12" i="4"/>
  <c r="C11" i="4"/>
  <c r="C10" i="4"/>
  <c r="C9" i="4"/>
  <c r="K8" i="3"/>
  <c r="H8" i="3"/>
  <c r="E8" i="3"/>
  <c r="B8" i="3"/>
  <c r="K8" i="2"/>
  <c r="H8" i="2"/>
  <c r="E8" i="2"/>
  <c r="B14" i="1"/>
  <c r="K8" i="1"/>
  <c r="H8" i="1"/>
  <c r="E8" i="1"/>
  <c r="B8" i="1"/>
</calcChain>
</file>

<file path=xl/sharedStrings.xml><?xml version="1.0" encoding="utf-8"?>
<sst xmlns="http://schemas.openxmlformats.org/spreadsheetml/2006/main" count="7690" uniqueCount="3331">
  <si>
    <t>💰  IMDB Top 1000 — Financial &amp; Performance Dashboard</t>
  </si>
  <si>
    <t>Gross Revenue &amp; Ratings Analysis</t>
  </si>
  <si>
    <t>📊  FINANCIAL KPIs</t>
  </si>
  <si>
    <t>Highest Gross ($)</t>
  </si>
  <si>
    <t>Lowest Gross ($)</t>
  </si>
  <si>
    <t>Avg Gross ($M)</t>
  </si>
  <si>
    <t>Total Gross ($B)</t>
  </si>
  <si>
    <t>📋  PERFORMANCE METRICS</t>
  </si>
  <si>
    <t>Highest Grossing Movie</t>
  </si>
  <si>
    <t>Best Rated Movie</t>
  </si>
  <si>
    <t>💡  FINANCIAL INSIGHTS</t>
  </si>
  <si>
    <t>📈 Rating–Gross Correlation</t>
  </si>
  <si>
    <t>🎬 Best Genre by Total Gross</t>
  </si>
  <si>
    <t>⭐ Avg Gross for Action Movies</t>
  </si>
  <si>
    <t>🏅 Avg Gross for Drama Movies</t>
  </si>
  <si>
    <t>📊 Count of $100M+ Movies</t>
  </si>
  <si>
    <t>💎 Max Meta Score</t>
  </si>
  <si>
    <t>📈  CHARTS &amp; ANALYSIS</t>
  </si>
  <si>
    <t>🎬  IMDB Top 1000 Movies — Overview Dashboard</t>
  </si>
  <si>
    <t>Data Source: IMDB Top 1000 | Updated: Dynamic</t>
  </si>
  <si>
    <t>📊  KEY PERFORMANCE INDICATORS</t>
  </si>
  <si>
    <t>Total Movies</t>
  </si>
  <si>
    <t>Avg IMDB Rating</t>
  </si>
  <si>
    <t>Total Gross Revenue</t>
  </si>
  <si>
    <t>Avg Runtime (min)</t>
  </si>
  <si>
    <t>📈  CHARTS &amp; VISUALIZATIONS</t>
  </si>
  <si>
    <t>🔍  IMDB Top 1000 — Deep Dive Analysis Dashboard</t>
  </si>
  <si>
    <t>Directors | Stars | Runtime | Certificates</t>
  </si>
  <si>
    <t>📊  PEOPLE &amp; CONTENT KPIs</t>
  </si>
  <si>
    <t>Unique Directors</t>
  </si>
  <si>
    <t>Unique Stars (All)</t>
  </si>
  <si>
    <t>Avg No. of Votes</t>
  </si>
  <si>
    <t>Avg Meta Score</t>
  </si>
  <si>
    <t>📈  CHARTS &amp; DEEP ANALYSIS</t>
  </si>
  <si>
    <t>🎛️  INTERACTIVE CONTROLS &amp; DYNAMIC LOOKUP</t>
  </si>
  <si>
    <t>🔍  MOVIE LOOKUP — Select a movie to see full details</t>
  </si>
  <si>
    <t>Select Movie:</t>
  </si>
  <si>
    <t>I Am Sam</t>
  </si>
  <si>
    <t>Released Year</t>
  </si>
  <si>
    <t>Certificate</t>
  </si>
  <si>
    <t>Runtime</t>
  </si>
  <si>
    <t>Genre</t>
  </si>
  <si>
    <t>IMDB Rating</t>
  </si>
  <si>
    <t>Meta Score</t>
  </si>
  <si>
    <t>Director</t>
  </si>
  <si>
    <t>Star 1</t>
  </si>
  <si>
    <t>Star 2</t>
  </si>
  <si>
    <t>No. of Votes</t>
  </si>
  <si>
    <t>Gross Revenue ($)</t>
  </si>
  <si>
    <t>🎬  DIRECTOR STATS — Select a director</t>
  </si>
  <si>
    <t>Select Director:</t>
  </si>
  <si>
    <t>Jessie Nelson</t>
  </si>
  <si>
    <t>Total Movies Directed</t>
  </si>
  <si>
    <t>Avg Gross per Movie</t>
  </si>
  <si>
    <t>Highest Rated Movie</t>
  </si>
  <si>
    <t>📅  YEAR FILTER — Movies released in selected year</t>
  </si>
  <si>
    <t>Select Year:</t>
  </si>
  <si>
    <t>Movies in Selected Year</t>
  </si>
  <si>
    <t>Avg Rating (that year)</t>
  </si>
  <si>
    <t>Total Gross (that year)</t>
  </si>
  <si>
    <t>Top Movie (that year)</t>
  </si>
  <si>
    <t>Movie Title</t>
  </si>
  <si>
    <t>Year</t>
  </si>
  <si>
    <t>Star 3</t>
  </si>
  <si>
    <t>Star 4</t>
  </si>
  <si>
    <t>Gross ($)</t>
  </si>
  <si>
    <t>Runtime (min)</t>
  </si>
  <si>
    <t>Primary Genre</t>
  </si>
  <si>
    <t>2001</t>
  </si>
  <si>
    <t>PG-13</t>
  </si>
  <si>
    <t>132 min</t>
  </si>
  <si>
    <t>Drama</t>
  </si>
  <si>
    <t>Sean Penn</t>
  </si>
  <si>
    <t>Michelle Pfeiffer</t>
  </si>
  <si>
    <t>Dakota Fanning</t>
  </si>
  <si>
    <t>Dianne Wiest</t>
  </si>
  <si>
    <t>The Butterfly Effect</t>
  </si>
  <si>
    <t>2004</t>
  </si>
  <si>
    <t>U</t>
  </si>
  <si>
    <t>113 min</t>
  </si>
  <si>
    <t>Drama, Sci-Fi, Thriller</t>
  </si>
  <si>
    <t>Eric Bress</t>
  </si>
  <si>
    <t>J. Mackye Gruber</t>
  </si>
  <si>
    <t>Ashton Kutcher</t>
  </si>
  <si>
    <t>Amy Smart</t>
  </si>
  <si>
    <t>Melora Walters</t>
  </si>
  <si>
    <t>Tropa de Elite</t>
  </si>
  <si>
    <t>2007</t>
  </si>
  <si>
    <t>R</t>
  </si>
  <si>
    <t>115 min</t>
  </si>
  <si>
    <t>Action, Crime, Drama</t>
  </si>
  <si>
    <t>José Padilha</t>
  </si>
  <si>
    <t>Wagner Moura</t>
  </si>
  <si>
    <t>André Ramiro</t>
  </si>
  <si>
    <t>Caio Junqueira</t>
  </si>
  <si>
    <t>Milhem Cortaz</t>
  </si>
  <si>
    <t>Action</t>
  </si>
  <si>
    <t>Seven Pounds</t>
  </si>
  <si>
    <t>2008</t>
  </si>
  <si>
    <t>UA</t>
  </si>
  <si>
    <t>123 min</t>
  </si>
  <si>
    <t>Gabriele Muccino</t>
  </si>
  <si>
    <t>Will Smith</t>
  </si>
  <si>
    <t>Rosario Dawson</t>
  </si>
  <si>
    <t>Woody Harrelson</t>
  </si>
  <si>
    <t>Michael Ealy</t>
  </si>
  <si>
    <t>Kai po che!</t>
  </si>
  <si>
    <t>2013</t>
  </si>
  <si>
    <t>130 min</t>
  </si>
  <si>
    <t>Drama, Sport</t>
  </si>
  <si>
    <t>Abhishek Kapoor</t>
  </si>
  <si>
    <t>Amit Sadh</t>
  </si>
  <si>
    <t>Sushant Singh Rajput</t>
  </si>
  <si>
    <t>Rajkummar Rao</t>
  </si>
  <si>
    <t>Amrita Puri</t>
  </si>
  <si>
    <t>Fear and Loathing in Las Vegas</t>
  </si>
  <si>
    <t>1998</t>
  </si>
  <si>
    <t>118 min</t>
  </si>
  <si>
    <t>Adventure, Comedy, Drama</t>
  </si>
  <si>
    <t>Terry Gilliam</t>
  </si>
  <si>
    <t>Johnny Depp</t>
  </si>
  <si>
    <t>Benicio Del Toro</t>
  </si>
  <si>
    <t>Tobey Maguire</t>
  </si>
  <si>
    <t>Michael Lee Gogin</t>
  </si>
  <si>
    <t>Adventure</t>
  </si>
  <si>
    <t>Flipped</t>
  </si>
  <si>
    <t>2010</t>
  </si>
  <si>
    <t>PG</t>
  </si>
  <si>
    <t>90 min</t>
  </si>
  <si>
    <t>Comedy, Drama, Romance</t>
  </si>
  <si>
    <t>Rob Reiner</t>
  </si>
  <si>
    <t>Madeline Carroll</t>
  </si>
  <si>
    <t>Callan McAuliffe</t>
  </si>
  <si>
    <t>Rebecca De Mornay</t>
  </si>
  <si>
    <t>Anthony Edwards</t>
  </si>
  <si>
    <t>Comedy</t>
  </si>
  <si>
    <t>Jeux d'enfants</t>
  </si>
  <si>
    <t>2003</t>
  </si>
  <si>
    <t>93 min</t>
  </si>
  <si>
    <t>Yann Samuell</t>
  </si>
  <si>
    <t>Guillaume Canet</t>
  </si>
  <si>
    <t>Marion Cotillard</t>
  </si>
  <si>
    <t>Thibault Verhaeghe</t>
  </si>
  <si>
    <t>Joséphine Lebas-Joly</t>
  </si>
  <si>
    <t>Predator</t>
  </si>
  <si>
    <t>1987</t>
  </si>
  <si>
    <t>A</t>
  </si>
  <si>
    <t>107 min</t>
  </si>
  <si>
    <t>Action, Adventure, Sci-Fi</t>
  </si>
  <si>
    <t>John McTiernan</t>
  </si>
  <si>
    <t>Arnold Schwarzenegger</t>
  </si>
  <si>
    <t>Carl Weathers</t>
  </si>
  <si>
    <t>Kevin Peter Hall</t>
  </si>
  <si>
    <t>Elpidia Carrillo</t>
  </si>
  <si>
    <t>Saw</t>
  </si>
  <si>
    <t>103 min</t>
  </si>
  <si>
    <t>Horror, Mystery, Thriller</t>
  </si>
  <si>
    <t>James Wan</t>
  </si>
  <si>
    <t>Cary Elwes</t>
  </si>
  <si>
    <t>Leigh Whannell</t>
  </si>
  <si>
    <t>Danny Glover</t>
  </si>
  <si>
    <t>Ken Leung</t>
  </si>
  <si>
    <t>Horror</t>
  </si>
  <si>
    <t>Bound by Honor</t>
  </si>
  <si>
    <t>1993</t>
  </si>
  <si>
    <t>180 min</t>
  </si>
  <si>
    <t>Crime, Drama</t>
  </si>
  <si>
    <t>Taylor Hackford</t>
  </si>
  <si>
    <t>Damian Chapa</t>
  </si>
  <si>
    <t>Jesse Borrego</t>
  </si>
  <si>
    <t>Benjamin Bratt</t>
  </si>
  <si>
    <t>Enrique Castillo</t>
  </si>
  <si>
    <t>Crime</t>
  </si>
  <si>
    <t>Man on Fire</t>
  </si>
  <si>
    <t>146 min</t>
  </si>
  <si>
    <t>Tony Scott</t>
  </si>
  <si>
    <t>Denzel Washington</t>
  </si>
  <si>
    <t>Christopher Walken</t>
  </si>
  <si>
    <t>Radha Mitchell</t>
  </si>
  <si>
    <t>Pink Floyd: The Wall</t>
  </si>
  <si>
    <t>1982</t>
  </si>
  <si>
    <t>95 min</t>
  </si>
  <si>
    <t>Drama, Fantasy, Music</t>
  </si>
  <si>
    <t>Alan Parker</t>
  </si>
  <si>
    <t>Bob Geldof</t>
  </si>
  <si>
    <t>Christine Hargreaves</t>
  </si>
  <si>
    <t>James Laurenson</t>
  </si>
  <si>
    <t>Eleanor David</t>
  </si>
  <si>
    <t>Primal Fear</t>
  </si>
  <si>
    <t>1996</t>
  </si>
  <si>
    <t>129 min</t>
  </si>
  <si>
    <t>Crime, Drama, Mystery</t>
  </si>
  <si>
    <t>Gregory Hoblit</t>
  </si>
  <si>
    <t>Richard Gere</t>
  </si>
  <si>
    <t>Laura Linney</t>
  </si>
  <si>
    <t>Edward Norton</t>
  </si>
  <si>
    <t>John Mahoney</t>
  </si>
  <si>
    <t>Remember the Titans</t>
  </si>
  <si>
    <t>2000</t>
  </si>
  <si>
    <t>Biography, Drama, Sport</t>
  </si>
  <si>
    <t>Boaz Yakin</t>
  </si>
  <si>
    <t>Will Patton</t>
  </si>
  <si>
    <t>Wood Harris</t>
  </si>
  <si>
    <t>Ryan Hurst</t>
  </si>
  <si>
    <t>Biography</t>
  </si>
  <si>
    <t>Bohemian Rhapsody</t>
  </si>
  <si>
    <t>2018</t>
  </si>
  <si>
    <t>134 min</t>
  </si>
  <si>
    <t>Biography, Drama, Music</t>
  </si>
  <si>
    <t>Bryan Singer</t>
  </si>
  <si>
    <t>Rami Malek</t>
  </si>
  <si>
    <t>Lucy Boynton</t>
  </si>
  <si>
    <t>Gwilym Lee</t>
  </si>
  <si>
    <t>Ben Hardy</t>
  </si>
  <si>
    <t>La migliore offerta</t>
  </si>
  <si>
    <t>131 min</t>
  </si>
  <si>
    <t>Giuseppe Tornatore</t>
  </si>
  <si>
    <t>Geoffrey Rush</t>
  </si>
  <si>
    <t>Jim Sturgess</t>
  </si>
  <si>
    <t>Sylvia Hoeks</t>
  </si>
  <si>
    <t>Donald Sutherland</t>
  </si>
  <si>
    <t>Sleepers</t>
  </si>
  <si>
    <t>147 min</t>
  </si>
  <si>
    <t>Crime, Drama, Thriller</t>
  </si>
  <si>
    <t>Barry Levinson</t>
  </si>
  <si>
    <t>Robert De Niro</t>
  </si>
  <si>
    <t>Kevin Bacon</t>
  </si>
  <si>
    <t>Brad Pitt</t>
  </si>
  <si>
    <t>Jason Patric</t>
  </si>
  <si>
    <t>My Name Is Khan</t>
  </si>
  <si>
    <t>165 min</t>
  </si>
  <si>
    <t>Karan Johar</t>
  </si>
  <si>
    <t>Shah Rukh Khan</t>
  </si>
  <si>
    <t>Kajol</t>
  </si>
  <si>
    <t>Sheetal Menon</t>
  </si>
  <si>
    <t>Katie A. Keane</t>
  </si>
  <si>
    <t>Kelly's Heroes</t>
  </si>
  <si>
    <t>1970</t>
  </si>
  <si>
    <t>GP</t>
  </si>
  <si>
    <t>144 min</t>
  </si>
  <si>
    <t>Adventure, Comedy, War</t>
  </si>
  <si>
    <t>Brian G. Hutton</t>
  </si>
  <si>
    <t>Clint Eastwood</t>
  </si>
  <si>
    <t>Telly Savalas</t>
  </si>
  <si>
    <t>Don Rickles</t>
  </si>
  <si>
    <t>Carroll O'Connor</t>
  </si>
  <si>
    <t>Tombstone</t>
  </si>
  <si>
    <t>Action, Biography, Drama</t>
  </si>
  <si>
    <t>George P. Cosmatos</t>
  </si>
  <si>
    <t>Kevin Jarre</t>
  </si>
  <si>
    <t>Kurt Russell</t>
  </si>
  <si>
    <t>Val Kilmer</t>
  </si>
  <si>
    <t>Sam Elliott</t>
  </si>
  <si>
    <t>Taken</t>
  </si>
  <si>
    <t>Action, Thriller</t>
  </si>
  <si>
    <t>Pierre Morel</t>
  </si>
  <si>
    <t>Liam Neeson</t>
  </si>
  <si>
    <t>Maggie Grace</t>
  </si>
  <si>
    <t>Famke Janssen</t>
  </si>
  <si>
    <t>Leland Orser</t>
  </si>
  <si>
    <t>Adams æbler</t>
  </si>
  <si>
    <t>2005</t>
  </si>
  <si>
    <t>94 min</t>
  </si>
  <si>
    <t>Comedy, Crime, Drama</t>
  </si>
  <si>
    <t>Anders Thomas Jensen</t>
  </si>
  <si>
    <t>Ulrich Thomsen</t>
  </si>
  <si>
    <t>Mads Mikkelsen</t>
  </si>
  <si>
    <t>Nicolas Bro</t>
  </si>
  <si>
    <t>Paprika Steen</t>
  </si>
  <si>
    <t>300</t>
  </si>
  <si>
    <t>2006</t>
  </si>
  <si>
    <t>117 min</t>
  </si>
  <si>
    <t>Action, Drama</t>
  </si>
  <si>
    <t>Zack Snyder</t>
  </si>
  <si>
    <t>Gerard Butler</t>
  </si>
  <si>
    <t>Lena Headey</t>
  </si>
  <si>
    <t>David Wenham</t>
  </si>
  <si>
    <t>Dominic West</t>
  </si>
  <si>
    <t>Blow</t>
  </si>
  <si>
    <t>124 min</t>
  </si>
  <si>
    <t>Biography, Crime, Drama</t>
  </si>
  <si>
    <t>Ted Demme</t>
  </si>
  <si>
    <t>Penélope Cruz</t>
  </si>
  <si>
    <t>Franka Potente</t>
  </si>
  <si>
    <t>Rachel Griffiths</t>
  </si>
  <si>
    <t>The Fifth Element</t>
  </si>
  <si>
    <t>1997</t>
  </si>
  <si>
    <t>126 min</t>
  </si>
  <si>
    <t>Luc Besson</t>
  </si>
  <si>
    <t>Bruce Willis</t>
  </si>
  <si>
    <t>Milla Jovovich</t>
  </si>
  <si>
    <t>Gary Oldman</t>
  </si>
  <si>
    <t>Ian Holm</t>
  </si>
  <si>
    <t>The Blind Side</t>
  </si>
  <si>
    <t>2009</t>
  </si>
  <si>
    <t>John Lee Hancock</t>
  </si>
  <si>
    <t>Quinton Aaron</t>
  </si>
  <si>
    <t>Sandra Bullock</t>
  </si>
  <si>
    <t>Tim McGraw</t>
  </si>
  <si>
    <t>Jae Head</t>
  </si>
  <si>
    <t>The Notebook</t>
  </si>
  <si>
    <t>Drama, Romance</t>
  </si>
  <si>
    <t>Nick Cassavetes</t>
  </si>
  <si>
    <t>Gena Rowlands</t>
  </si>
  <si>
    <t>James Garner</t>
  </si>
  <si>
    <t>Rachel McAdams</t>
  </si>
  <si>
    <t>Ryan Gosling</t>
  </si>
  <si>
    <t>Enemy at the Gates</t>
  </si>
  <si>
    <t>Drama, History, War</t>
  </si>
  <si>
    <t>Jean-Jacques Annaud</t>
  </si>
  <si>
    <t>Jude Law</t>
  </si>
  <si>
    <t>Ed Harris</t>
  </si>
  <si>
    <t>Joseph Fiennes</t>
  </si>
  <si>
    <t>Rachel Weisz</t>
  </si>
  <si>
    <t>Lucky Number Slevin</t>
  </si>
  <si>
    <t>110 min</t>
  </si>
  <si>
    <t>Paul McGuigan</t>
  </si>
  <si>
    <t>Josh Hartnett</t>
  </si>
  <si>
    <t>Ben Kingsley</t>
  </si>
  <si>
    <t>Morgan Freeman</t>
  </si>
  <si>
    <t>Lucy Liu</t>
  </si>
  <si>
    <t>Kal Ho Naa Ho</t>
  </si>
  <si>
    <t>186 min</t>
  </si>
  <si>
    <t>Comedy, Drama, Musical</t>
  </si>
  <si>
    <t>Nikkhil Advani</t>
  </si>
  <si>
    <t>Preity Zinta</t>
  </si>
  <si>
    <t>Saif Ali Khan</t>
  </si>
  <si>
    <t>Jaya Bachchan</t>
  </si>
  <si>
    <t>Der Name der Rose</t>
  </si>
  <si>
    <t>1986</t>
  </si>
  <si>
    <t>Sean Connery</t>
  </si>
  <si>
    <t>Christian Slater</t>
  </si>
  <si>
    <t>Helmut Qualtinger</t>
  </si>
  <si>
    <t>Elya Baskin</t>
  </si>
  <si>
    <t>About Time</t>
  </si>
  <si>
    <t>Comedy, Drama, Fantasy</t>
  </si>
  <si>
    <t>Richard Curtis</t>
  </si>
  <si>
    <t>Domhnall Gleeson</t>
  </si>
  <si>
    <t>Bill Nighy</t>
  </si>
  <si>
    <t>Lydia Wilson</t>
  </si>
  <si>
    <t>Snatch</t>
  </si>
  <si>
    <t>104 min</t>
  </si>
  <si>
    <t>Comedy, Crime</t>
  </si>
  <si>
    <t>Guy Ritchie</t>
  </si>
  <si>
    <t>Jason Statham</t>
  </si>
  <si>
    <t>Dennis Farina</t>
  </si>
  <si>
    <t>The Boy in the Striped Pyjamas</t>
  </si>
  <si>
    <t>Mark Herman</t>
  </si>
  <si>
    <t>Asa Butterfield</t>
  </si>
  <si>
    <t>David Thewlis</t>
  </si>
  <si>
    <t>Rupert Friend</t>
  </si>
  <si>
    <t>Zac Mattoon O'Brien</t>
  </si>
  <si>
    <t>The Last Samurai</t>
  </si>
  <si>
    <t>154 min</t>
  </si>
  <si>
    <t>Edward Zwick</t>
  </si>
  <si>
    <t>Tom Cruise</t>
  </si>
  <si>
    <t>Ken Watanabe</t>
  </si>
  <si>
    <t>Billy Connolly</t>
  </si>
  <si>
    <t>William Atherton</t>
  </si>
  <si>
    <t>The Sandlot</t>
  </si>
  <si>
    <t>101 min</t>
  </si>
  <si>
    <t>Comedy, Drama, Family</t>
  </si>
  <si>
    <t>David Mickey Evans</t>
  </si>
  <si>
    <t>Tom Guiry</t>
  </si>
  <si>
    <t>Mike Vitar</t>
  </si>
  <si>
    <t>Art LaFleur</t>
  </si>
  <si>
    <t>Patrick Renna</t>
  </si>
  <si>
    <t>Les choristes</t>
  </si>
  <si>
    <t>97 min</t>
  </si>
  <si>
    <t>Drama, Music</t>
  </si>
  <si>
    <t>Christophe Barratier</t>
  </si>
  <si>
    <t>Gérard Jugnot</t>
  </si>
  <si>
    <t>François Berléand</t>
  </si>
  <si>
    <t>Jean-Baptiste Maunier</t>
  </si>
  <si>
    <t>Kad Merad</t>
  </si>
  <si>
    <t>Watchmen</t>
  </si>
  <si>
    <t>162 min</t>
  </si>
  <si>
    <t>Action, Drama, Mystery</t>
  </si>
  <si>
    <t>Jackie Earle Haley</t>
  </si>
  <si>
    <t>Patrick Wilson</t>
  </si>
  <si>
    <t>Carla Gugino</t>
  </si>
  <si>
    <t>Malin Akerman</t>
  </si>
  <si>
    <t>Falling Down</t>
  </si>
  <si>
    <t>Joel Schumacher</t>
  </si>
  <si>
    <t>Michael Douglas</t>
  </si>
  <si>
    <t>Robert Duvall</t>
  </si>
  <si>
    <t>Barbara Hershey</t>
  </si>
  <si>
    <t>Rachel Ticotin</t>
  </si>
  <si>
    <t>Boksuneun naui geot</t>
  </si>
  <si>
    <t>2002</t>
  </si>
  <si>
    <t>Chan-wook Park</t>
  </si>
  <si>
    <t>Kang-ho Song</t>
  </si>
  <si>
    <t>Shin Ha-kyun</t>
  </si>
  <si>
    <t>Bae Doona</t>
  </si>
  <si>
    <t>Ji-Eun Lim</t>
  </si>
  <si>
    <t>Sherlock Holmes</t>
  </si>
  <si>
    <t>128 min</t>
  </si>
  <si>
    <t>Action, Adventure, Mystery</t>
  </si>
  <si>
    <t>Robert Downey Jr.</t>
  </si>
  <si>
    <t>Mark Strong</t>
  </si>
  <si>
    <t>The Intouchables</t>
  </si>
  <si>
    <t>2011</t>
  </si>
  <si>
    <t>112 min</t>
  </si>
  <si>
    <t>Biography, Comedy, Drama</t>
  </si>
  <si>
    <t>Olivier Nakache</t>
  </si>
  <si>
    <t>Éric Toledano</t>
  </si>
  <si>
    <t>François Cluzet</t>
  </si>
  <si>
    <t>Omar Sy</t>
  </si>
  <si>
    <t>Anne Le Ny</t>
  </si>
  <si>
    <t>The Thing</t>
  </si>
  <si>
    <t>109 min</t>
  </si>
  <si>
    <t>Horror, Mystery, Sci-Fi</t>
  </si>
  <si>
    <t>John Carpenter</t>
  </si>
  <si>
    <t>Wilford Brimley</t>
  </si>
  <si>
    <t>Keith David</t>
  </si>
  <si>
    <t>Richard Masur</t>
  </si>
  <si>
    <t>Back to the Future Part II</t>
  </si>
  <si>
    <t>1989</t>
  </si>
  <si>
    <t>108 min</t>
  </si>
  <si>
    <t>Adventure, Comedy, Sci-Fi</t>
  </si>
  <si>
    <t>Robert Zemeckis</t>
  </si>
  <si>
    <t>Michael J. Fox</t>
  </si>
  <si>
    <t>Christopher Lloyd</t>
  </si>
  <si>
    <t>Lea Thompson</t>
  </si>
  <si>
    <t>Thomas F. Wilson</t>
  </si>
  <si>
    <t>Big Fish</t>
  </si>
  <si>
    <t>125 min</t>
  </si>
  <si>
    <t>Adventure, Drama, Fantasy</t>
  </si>
  <si>
    <t>Tim Burton</t>
  </si>
  <si>
    <t>Ewan McGregor</t>
  </si>
  <si>
    <t>Albert Finney</t>
  </si>
  <si>
    <t>Billy Crudup</t>
  </si>
  <si>
    <t>Jessica Lange</t>
  </si>
  <si>
    <t>The Hobbit: An Unexpected Journey</t>
  </si>
  <si>
    <t>2012</t>
  </si>
  <si>
    <t>169 min</t>
  </si>
  <si>
    <t>Adventure, Fantasy</t>
  </si>
  <si>
    <t>Peter Jackson</t>
  </si>
  <si>
    <t>Martin Freeman</t>
  </si>
  <si>
    <t>Ian McKellen</t>
  </si>
  <si>
    <t>Richard Armitage</t>
  </si>
  <si>
    <t>Andy Serkis</t>
  </si>
  <si>
    <t>La leggenda del pianista sull'oceano</t>
  </si>
  <si>
    <t>Drama, Music, Romance</t>
  </si>
  <si>
    <t>Tim Roth</t>
  </si>
  <si>
    <t>Pruitt Taylor Vince</t>
  </si>
  <si>
    <t>Mélanie Thierry</t>
  </si>
  <si>
    <t>Bill Nunn</t>
  </si>
  <si>
    <t>Star Wars: Episode VI - Return of the Jedi</t>
  </si>
  <si>
    <t>1983</t>
  </si>
  <si>
    <t>Action, Adventure, Fantasy</t>
  </si>
  <si>
    <t>Richard Marquand</t>
  </si>
  <si>
    <t>Mark Hamill</t>
  </si>
  <si>
    <t>Harrison Ford</t>
  </si>
  <si>
    <t>Carrie Fisher</t>
  </si>
  <si>
    <t>Billy Dee Williams</t>
  </si>
  <si>
    <t>Papillon</t>
  </si>
  <si>
    <t>1973</t>
  </si>
  <si>
    <t>151 min</t>
  </si>
  <si>
    <t>Franklin J. Schaffner</t>
  </si>
  <si>
    <t>Steve McQueen</t>
  </si>
  <si>
    <t>Dustin Hoffman</t>
  </si>
  <si>
    <t>Victor Jory</t>
  </si>
  <si>
    <t>Don Gordon</t>
  </si>
  <si>
    <t>Die Hard: With a Vengeance</t>
  </si>
  <si>
    <t>1995</t>
  </si>
  <si>
    <t>Action, Adventure, Thriller</t>
  </si>
  <si>
    <t>Jeremy Irons</t>
  </si>
  <si>
    <t>Samuel L. Jackson</t>
  </si>
  <si>
    <t>Graham Greene</t>
  </si>
  <si>
    <t>Jojo Rabbit</t>
  </si>
  <si>
    <t>2019</t>
  </si>
  <si>
    <t>Comedy, Drama, War</t>
  </si>
  <si>
    <t>Taika Waititi</t>
  </si>
  <si>
    <t>Roman Griffin Davis</t>
  </si>
  <si>
    <t>Thomasin McKenzie</t>
  </si>
  <si>
    <t>Scarlett Johansson</t>
  </si>
  <si>
    <t>True Romance</t>
  </si>
  <si>
    <t>119 min</t>
  </si>
  <si>
    <t>Crime, Drama, Romance</t>
  </si>
  <si>
    <t>Patricia Arquette</t>
  </si>
  <si>
    <t>Dennis Hopper</t>
  </si>
  <si>
    <t>Midnight Express</t>
  </si>
  <si>
    <t>1978</t>
  </si>
  <si>
    <t>121 min</t>
  </si>
  <si>
    <t>Brad Davis</t>
  </si>
  <si>
    <t>Irene Miracle</t>
  </si>
  <si>
    <t>Bo Hopkins</t>
  </si>
  <si>
    <t>Paolo Bonacelli</t>
  </si>
  <si>
    <t>Joker</t>
  </si>
  <si>
    <t>122 min</t>
  </si>
  <si>
    <t>Todd Phillips</t>
  </si>
  <si>
    <t>Joaquin Phoenix</t>
  </si>
  <si>
    <t>Zazie Beetz</t>
  </si>
  <si>
    <t>Frances Conroy</t>
  </si>
  <si>
    <t>La vita è bella</t>
  </si>
  <si>
    <t>116 min</t>
  </si>
  <si>
    <t>Roberto Benigni</t>
  </si>
  <si>
    <t>Nicoletta Braschi</t>
  </si>
  <si>
    <t>Giorgio Cantarini</t>
  </si>
  <si>
    <t>Giustino Durano</t>
  </si>
  <si>
    <t>Scent of a Woman</t>
  </si>
  <si>
    <t>1992</t>
  </si>
  <si>
    <t>156 min</t>
  </si>
  <si>
    <t>Martin Brest</t>
  </si>
  <si>
    <t>Al Pacino</t>
  </si>
  <si>
    <t>Chris O'Donnell</t>
  </si>
  <si>
    <t>James Rebhorn</t>
  </si>
  <si>
    <t>Gabrielle Anwar</t>
  </si>
  <si>
    <t>Gifted</t>
  </si>
  <si>
    <t>2017</t>
  </si>
  <si>
    <t>Marc Webb</t>
  </si>
  <si>
    <t>Chris Evans</t>
  </si>
  <si>
    <t>Mckenna Grace</t>
  </si>
  <si>
    <t>Lindsay Duncan</t>
  </si>
  <si>
    <t>Octavia Spencer</t>
  </si>
  <si>
    <t>Dogville</t>
  </si>
  <si>
    <t>178 min</t>
  </si>
  <si>
    <t>Lars von Trier</t>
  </si>
  <si>
    <t>Nicole Kidman</t>
  </si>
  <si>
    <t>Paul Bettany</t>
  </si>
  <si>
    <t>Lauren Bacall</t>
  </si>
  <si>
    <t>Harriet Andersson</t>
  </si>
  <si>
    <t>Das Experiment</t>
  </si>
  <si>
    <t>120 min</t>
  </si>
  <si>
    <t>Drama, Thriller</t>
  </si>
  <si>
    <t>Oliver Hirschbiegel</t>
  </si>
  <si>
    <t>Moritz Bleibtreu</t>
  </si>
  <si>
    <t>Christian Berkel</t>
  </si>
  <si>
    <t>Oliver Stokowski</t>
  </si>
  <si>
    <t>Wotan Wilke Möhring</t>
  </si>
  <si>
    <t>The Godfather: Part III</t>
  </si>
  <si>
    <t>1990</t>
  </si>
  <si>
    <t>Francis Ford Coppola</t>
  </si>
  <si>
    <t>Diane Keaton</t>
  </si>
  <si>
    <t>Andy Garcia</t>
  </si>
  <si>
    <t>Talia Shire</t>
  </si>
  <si>
    <t>The Blues Brothers</t>
  </si>
  <si>
    <t>1980</t>
  </si>
  <si>
    <t>133 min</t>
  </si>
  <si>
    <t>Action, Adventure, Comedy</t>
  </si>
  <si>
    <t>John Landis</t>
  </si>
  <si>
    <t>John Belushi</t>
  </si>
  <si>
    <t>Dan Aykroyd</t>
  </si>
  <si>
    <t>Cab Calloway</t>
  </si>
  <si>
    <t>John Candy</t>
  </si>
  <si>
    <t>Kingsman: The Secret Service</t>
  </si>
  <si>
    <t>2014</t>
  </si>
  <si>
    <t>Matthew Vaughn</t>
  </si>
  <si>
    <t>Colin Firth</t>
  </si>
  <si>
    <t>Taron Egerton</t>
  </si>
  <si>
    <t>Michael Caine</t>
  </si>
  <si>
    <t>Ferris Bueller's Day Off</t>
  </si>
  <si>
    <t>John Hughes</t>
  </si>
  <si>
    <t>Matthew Broderick</t>
  </si>
  <si>
    <t>Alan Ruck</t>
  </si>
  <si>
    <t>Mia Sara</t>
  </si>
  <si>
    <t>Jeffrey Jones</t>
  </si>
  <si>
    <t>The Count of Monte Cristo</t>
  </si>
  <si>
    <t>Action, Adventure, Drama</t>
  </si>
  <si>
    <t>Kevin Reynolds</t>
  </si>
  <si>
    <t>Jim Caviezel</t>
  </si>
  <si>
    <t>Guy Pearce</t>
  </si>
  <si>
    <t>Christopher Adamson</t>
  </si>
  <si>
    <t>JB Blanc</t>
  </si>
  <si>
    <t>Cowboy Bebop: Tengoku no tobira</t>
  </si>
  <si>
    <t>Animation, Action, Crime</t>
  </si>
  <si>
    <t>Shin'ichirô Watanabe</t>
  </si>
  <si>
    <t>Tensai Okamura</t>
  </si>
  <si>
    <t>Hiroyuki Okiura</t>
  </si>
  <si>
    <t>Yoshiyuki Takei</t>
  </si>
  <si>
    <t>Beau Billingslea</t>
  </si>
  <si>
    <t>Animation</t>
  </si>
  <si>
    <t>The Green Mile</t>
  </si>
  <si>
    <t>1999</t>
  </si>
  <si>
    <t>189 min</t>
  </si>
  <si>
    <t>Crime, Drama, Fantasy</t>
  </si>
  <si>
    <t>Frank Darabont</t>
  </si>
  <si>
    <t>Tom Hanks</t>
  </si>
  <si>
    <t>Michael Clarke Duncan</t>
  </si>
  <si>
    <t>David Morse</t>
  </si>
  <si>
    <t>Bonnie Hunt</t>
  </si>
  <si>
    <t>Dancer in the Dark</t>
  </si>
  <si>
    <t>140 min</t>
  </si>
  <si>
    <t>Crime, Drama, Musical</t>
  </si>
  <si>
    <t>Björk</t>
  </si>
  <si>
    <t>Catherine Deneuve</t>
  </si>
  <si>
    <t>Peter Stormare</t>
  </si>
  <si>
    <t>The Machinist</t>
  </si>
  <si>
    <t>Brad Anderson</t>
  </si>
  <si>
    <t>Christian Bale</t>
  </si>
  <si>
    <t>Jennifer Jason Leigh</t>
  </si>
  <si>
    <t>Aitana Sánchez-Gijón</t>
  </si>
  <si>
    <t>John Sharian</t>
  </si>
  <si>
    <t>First Blood</t>
  </si>
  <si>
    <t>Action, Adventure</t>
  </si>
  <si>
    <t>Ted Kotcheff</t>
  </si>
  <si>
    <t>Sylvester Stallone</t>
  </si>
  <si>
    <t>Brian Dennehy</t>
  </si>
  <si>
    <t>Richard Crenna</t>
  </si>
  <si>
    <t>Bill McKinney</t>
  </si>
  <si>
    <t>The Game</t>
  </si>
  <si>
    <t>David Fincher</t>
  </si>
  <si>
    <t>Deborah Kara Unger</t>
  </si>
  <si>
    <t>Empire of the Sun</t>
  </si>
  <si>
    <t>153 min</t>
  </si>
  <si>
    <t>Action, Drama, History</t>
  </si>
  <si>
    <t>Steven Spielberg</t>
  </si>
  <si>
    <t>John Malkovich</t>
  </si>
  <si>
    <t>Miranda Richardson</t>
  </si>
  <si>
    <t>Nigel Havers</t>
  </si>
  <si>
    <t>A Few Good Men</t>
  </si>
  <si>
    <t>138 min</t>
  </si>
  <si>
    <t>Jack Nicholson</t>
  </si>
  <si>
    <t>Demi Moore</t>
  </si>
  <si>
    <t>The Help</t>
  </si>
  <si>
    <t>Tate Taylor</t>
  </si>
  <si>
    <t>Emma Stone</t>
  </si>
  <si>
    <t>Viola Davis</t>
  </si>
  <si>
    <t>Bryce Dallas Howard</t>
  </si>
  <si>
    <t>Loving Vincent</t>
  </si>
  <si>
    <t>Animation, Biography, Crime</t>
  </si>
  <si>
    <t>Dorota Kobiela</t>
  </si>
  <si>
    <t>Hugh Welchman</t>
  </si>
  <si>
    <t>Douglas Booth</t>
  </si>
  <si>
    <t>Jerome Flynn</t>
  </si>
  <si>
    <t>Robert Gulaczyk</t>
  </si>
  <si>
    <t>Lord of War</t>
  </si>
  <si>
    <t>Andrew Niccol</t>
  </si>
  <si>
    <t>Nicolas Cage</t>
  </si>
  <si>
    <t>Ethan Hawke</t>
  </si>
  <si>
    <t>Jared Leto</t>
  </si>
  <si>
    <t>Bridget Moynahan</t>
  </si>
  <si>
    <t>Vampire Hunter D: Bloodlust</t>
  </si>
  <si>
    <t>Animation, Action, Fantasy</t>
  </si>
  <si>
    <t>Yoshiaki Kawajiri</t>
  </si>
  <si>
    <t>Andrew Philpot</t>
  </si>
  <si>
    <t>John Rafter Lee</t>
  </si>
  <si>
    <t>Pamela Adlon</t>
  </si>
  <si>
    <t>Wendee Lee</t>
  </si>
  <si>
    <t>The Goonies</t>
  </si>
  <si>
    <t>1985</t>
  </si>
  <si>
    <t>114 min</t>
  </si>
  <si>
    <t>Adventure, Comedy, Family</t>
  </si>
  <si>
    <t>Richard Donner</t>
  </si>
  <si>
    <t>Sean Astin</t>
  </si>
  <si>
    <t>Josh Brolin</t>
  </si>
  <si>
    <t>Jeff Cohen</t>
  </si>
  <si>
    <t>Corey Feldman</t>
  </si>
  <si>
    <t>V for Vendetta</t>
  </si>
  <si>
    <t>Action, Drama, Sci-Fi</t>
  </si>
  <si>
    <t>James McTeigue</t>
  </si>
  <si>
    <t>Hugo Weaving</t>
  </si>
  <si>
    <t>Natalie Portman</t>
  </si>
  <si>
    <t>Rupert Graves</t>
  </si>
  <si>
    <t>Stephen Rea</t>
  </si>
  <si>
    <t>Dead Man</t>
  </si>
  <si>
    <t>Jim Jarmusch</t>
  </si>
  <si>
    <t>Gary Farmer</t>
  </si>
  <si>
    <t>Crispin Glover</t>
  </si>
  <si>
    <t>Lance Henriksen</t>
  </si>
  <si>
    <t>American History X</t>
  </si>
  <si>
    <t>Tony Kaye</t>
  </si>
  <si>
    <t>Edward Furlong</t>
  </si>
  <si>
    <t>Beverly D'Angelo</t>
  </si>
  <si>
    <t>Jennifer Lien</t>
  </si>
  <si>
    <t>Mr. Nobody</t>
  </si>
  <si>
    <t>141 min</t>
  </si>
  <si>
    <t>Drama, Fantasy, Romance</t>
  </si>
  <si>
    <t>Jaco Van Dormael</t>
  </si>
  <si>
    <t>Sarah Polley</t>
  </si>
  <si>
    <t>Diane Kruger</t>
  </si>
  <si>
    <t>Linh Dan Pham</t>
  </si>
  <si>
    <t>Home Alone</t>
  </si>
  <si>
    <t>Comedy, Family</t>
  </si>
  <si>
    <t>Chris Columbus</t>
  </si>
  <si>
    <t>Macaulay Culkin</t>
  </si>
  <si>
    <t>Joe Pesci</t>
  </si>
  <si>
    <t>Daniel Stern</t>
  </si>
  <si>
    <t>John Heard</t>
  </si>
  <si>
    <t>Pirates of the Caribbean: The Curse of the Black Pearl</t>
  </si>
  <si>
    <t>143 min</t>
  </si>
  <si>
    <t>Gore Verbinski</t>
  </si>
  <si>
    <t>Orlando Bloom</t>
  </si>
  <si>
    <t>Keira Knightley</t>
  </si>
  <si>
    <t>The Sound of Music</t>
  </si>
  <si>
    <t>1965</t>
  </si>
  <si>
    <t>172 min</t>
  </si>
  <si>
    <t>Biography, Drama, Family</t>
  </si>
  <si>
    <t>Robert Wise</t>
  </si>
  <si>
    <t>Julie Andrews</t>
  </si>
  <si>
    <t>Christopher Plummer</t>
  </si>
  <si>
    <t>Eleanor Parker</t>
  </si>
  <si>
    <t>Richard Haydn</t>
  </si>
  <si>
    <t>Changeling</t>
  </si>
  <si>
    <t>Angelina Jolie</t>
  </si>
  <si>
    <t>Colm Feore</t>
  </si>
  <si>
    <t>Amy Ryan</t>
  </si>
  <si>
    <t>Gattlin Griffith</t>
  </si>
  <si>
    <t>Shutter Island</t>
  </si>
  <si>
    <t>Mystery, Thriller</t>
  </si>
  <si>
    <t>Martin Scorsese</t>
  </si>
  <si>
    <t>Leonardo DiCaprio</t>
  </si>
  <si>
    <t>Emily Mortimer</t>
  </si>
  <si>
    <t>Mark Ruffalo</t>
  </si>
  <si>
    <t>Mystery</t>
  </si>
  <si>
    <t>The Fall</t>
  </si>
  <si>
    <t>Tarsem Singh</t>
  </si>
  <si>
    <t>Lee Pace</t>
  </si>
  <si>
    <t>Catinca Untaru</t>
  </si>
  <si>
    <t>Justine Waddell</t>
  </si>
  <si>
    <t>Kim Uylenbroek</t>
  </si>
  <si>
    <t>The Pursuit of Happyness</t>
  </si>
  <si>
    <t>Biography, Drama</t>
  </si>
  <si>
    <t>Thandie Newton</t>
  </si>
  <si>
    <t>Jaden Smith</t>
  </si>
  <si>
    <t>Brian Howe</t>
  </si>
  <si>
    <t>The Sixth Sense</t>
  </si>
  <si>
    <t>Drama, Mystery, Thriller</t>
  </si>
  <si>
    <t>M. Night Shyamalan</t>
  </si>
  <si>
    <t>Haley Joel Osment</t>
  </si>
  <si>
    <t>Toni Collette</t>
  </si>
  <si>
    <t>Olivia Williams</t>
  </si>
  <si>
    <t>The Muppet Christmas Carol</t>
  </si>
  <si>
    <t>G</t>
  </si>
  <si>
    <t>85 min</t>
  </si>
  <si>
    <t>Brian Henson</t>
  </si>
  <si>
    <t>Kermit the Frog</t>
  </si>
  <si>
    <t>Dave Goelz</t>
  </si>
  <si>
    <t>Miss Piggy</t>
  </si>
  <si>
    <t>Taegukgi hwinalrimyeo</t>
  </si>
  <si>
    <t>Action, Drama, War</t>
  </si>
  <si>
    <t>Je-kyu Kang</t>
  </si>
  <si>
    <t>Jang Dong-Gun</t>
  </si>
  <si>
    <t>Won Bin</t>
  </si>
  <si>
    <t>Eun-ju Lee</t>
  </si>
  <si>
    <t>Hyeong-jin Kong</t>
  </si>
  <si>
    <t>Harry Potter and the Sorcerer's Stone</t>
  </si>
  <si>
    <t>152 min</t>
  </si>
  <si>
    <t>Adventure, Family, Fantasy</t>
  </si>
  <si>
    <t>Daniel Radcliffe</t>
  </si>
  <si>
    <t>Rupert Grint</t>
  </si>
  <si>
    <t>Richard Harris</t>
  </si>
  <si>
    <t>Maggie Smith</t>
  </si>
  <si>
    <t>Gattaca</t>
  </si>
  <si>
    <t>106 min</t>
  </si>
  <si>
    <t>Uma Thurman</t>
  </si>
  <si>
    <t>Gore Vidal</t>
  </si>
  <si>
    <t>Léon</t>
  </si>
  <si>
    <t>1994</t>
  </si>
  <si>
    <t>Jean Reno</t>
  </si>
  <si>
    <t>Danny Aiello</t>
  </si>
  <si>
    <t>Fried Green Tomatoes</t>
  </si>
  <si>
    <t>1991</t>
  </si>
  <si>
    <t>Jon Avnet</t>
  </si>
  <si>
    <t>Kathy Bates</t>
  </si>
  <si>
    <t>Jessica Tandy</t>
  </si>
  <si>
    <t>Mary Stuart Masterson</t>
  </si>
  <si>
    <t>Mary-Louise Parker</t>
  </si>
  <si>
    <t>Blood Diamond</t>
  </si>
  <si>
    <t>Adventure, Drama, Thriller</t>
  </si>
  <si>
    <t>Djimon Hounsou</t>
  </si>
  <si>
    <t>Jennifer Connelly</t>
  </si>
  <si>
    <t>Kagiso Kuypers</t>
  </si>
  <si>
    <t>American Psycho</t>
  </si>
  <si>
    <t>Mary Harron</t>
  </si>
  <si>
    <t>Justin Theroux</t>
  </si>
  <si>
    <t>Josh Lucas</t>
  </si>
  <si>
    <t>Bill Sage</t>
  </si>
  <si>
    <t>The Jungle Book</t>
  </si>
  <si>
    <t>1967</t>
  </si>
  <si>
    <t>78 min</t>
  </si>
  <si>
    <t>Animation, Adventure, Family</t>
  </si>
  <si>
    <t>Wolfgang Reitherman</t>
  </si>
  <si>
    <t>Phil Harris</t>
  </si>
  <si>
    <t>Sebastian Cabot</t>
  </si>
  <si>
    <t>Louis Prima</t>
  </si>
  <si>
    <t>Bruce Reitherman</t>
  </si>
  <si>
    <t>Rogue One</t>
  </si>
  <si>
    <t>2016</t>
  </si>
  <si>
    <t>Gareth Edwards</t>
  </si>
  <si>
    <t>Felicity Jones</t>
  </si>
  <si>
    <t>Diego Luna</t>
  </si>
  <si>
    <t>Alan Tudyk</t>
  </si>
  <si>
    <t>Donnie Yen</t>
  </si>
  <si>
    <t>Indiana Jones and the Last Crusade</t>
  </si>
  <si>
    <t>127 min</t>
  </si>
  <si>
    <t>Alison Doody</t>
  </si>
  <si>
    <t>Denholm Elliott</t>
  </si>
  <si>
    <t>X: First Class</t>
  </si>
  <si>
    <t>James McAvoy</t>
  </si>
  <si>
    <t>Michael Fassbender</t>
  </si>
  <si>
    <t>Jennifer Lawrence</t>
  </si>
  <si>
    <t>Harry Potter and the Deathly Hallows: Part 1</t>
  </si>
  <si>
    <t>David Yates</t>
  </si>
  <si>
    <t>Emma Watson</t>
  </si>
  <si>
    <t>Rain Man</t>
  </si>
  <si>
    <t>1988</t>
  </si>
  <si>
    <t>Valeria Golino</t>
  </si>
  <si>
    <t>Gerald R. Molen</t>
  </si>
  <si>
    <t>Carlito's Way</t>
  </si>
  <si>
    <t>Brian De Palma</t>
  </si>
  <si>
    <t>Penelope Ann Miller</t>
  </si>
  <si>
    <t>John Leguizamo</t>
  </si>
  <si>
    <t>Hævnen</t>
  </si>
  <si>
    <t>Susanne Bier</t>
  </si>
  <si>
    <t>Mikael Persbrandt</t>
  </si>
  <si>
    <t>Trine Dyrholm</t>
  </si>
  <si>
    <t>Markus Rygaard</t>
  </si>
  <si>
    <t>Wil Johnson</t>
  </si>
  <si>
    <t>Scarface</t>
  </si>
  <si>
    <t>170 min</t>
  </si>
  <si>
    <t>Steven Bauer</t>
  </si>
  <si>
    <t>Mary Elizabeth Mastrantonio</t>
  </si>
  <si>
    <t>Se7en</t>
  </si>
  <si>
    <t>Kevin Spacey</t>
  </si>
  <si>
    <t>Andrew Kevin Walker</t>
  </si>
  <si>
    <t>The Warriors</t>
  </si>
  <si>
    <t>1979</t>
  </si>
  <si>
    <t>92 min</t>
  </si>
  <si>
    <t>Action, Crime, Thriller</t>
  </si>
  <si>
    <t>Walter Hill</t>
  </si>
  <si>
    <t>Michael Beck</t>
  </si>
  <si>
    <t>James Remar</t>
  </si>
  <si>
    <t>Dorsey Wright</t>
  </si>
  <si>
    <t>Brian Tyler</t>
  </si>
  <si>
    <t>Deadpool</t>
  </si>
  <si>
    <t>Tim Miller</t>
  </si>
  <si>
    <t>Ryan Reynolds</t>
  </si>
  <si>
    <t>Morena Baccarin</t>
  </si>
  <si>
    <t>T.J. Miller</t>
  </si>
  <si>
    <t>Ed Skrein</t>
  </si>
  <si>
    <t>Gully Boy</t>
  </si>
  <si>
    <t>Zoya Akhtar</t>
  </si>
  <si>
    <t>Vijay Varma</t>
  </si>
  <si>
    <t>Nakul Roshan Sahdev</t>
  </si>
  <si>
    <t>Ranveer Singh</t>
  </si>
  <si>
    <t>Vijay Raaz</t>
  </si>
  <si>
    <t>Dark City</t>
  </si>
  <si>
    <t>100 min</t>
  </si>
  <si>
    <t>Mystery, Sci-Fi, Thriller</t>
  </si>
  <si>
    <t>Alex Proyas</t>
  </si>
  <si>
    <t>Rufus Sewell</t>
  </si>
  <si>
    <t>Kiefer Sutherland</t>
  </si>
  <si>
    <t>William Hurt</t>
  </si>
  <si>
    <t>The Prestige</t>
  </si>
  <si>
    <t>Drama, Mystery, Sci-Fi</t>
  </si>
  <si>
    <t>Christopher Nolan</t>
  </si>
  <si>
    <t>Hugh Jackman</t>
  </si>
  <si>
    <t>Stardust</t>
  </si>
  <si>
    <t>Charlie Cox</t>
  </si>
  <si>
    <t>Claire Danes</t>
  </si>
  <si>
    <t>Sienna Miller</t>
  </si>
  <si>
    <t>Fight Club</t>
  </si>
  <si>
    <t>139 min</t>
  </si>
  <si>
    <t>Meat Loaf</t>
  </si>
  <si>
    <t>Zach Grenier</t>
  </si>
  <si>
    <t>Lock, Stock and Two Smoking Barrels</t>
  </si>
  <si>
    <t>Action, Comedy, Crime</t>
  </si>
  <si>
    <t>Jason Flemyng</t>
  </si>
  <si>
    <t>Dexter Fletcher</t>
  </si>
  <si>
    <t>Nick Moran</t>
  </si>
  <si>
    <t>Butch Cassidy and the Sundance Kid</t>
  </si>
  <si>
    <t>1969</t>
  </si>
  <si>
    <t>George Roy Hill</t>
  </si>
  <si>
    <t>Paul Newman</t>
  </si>
  <si>
    <t>Robert Redford</t>
  </si>
  <si>
    <t>Katharine Ross</t>
  </si>
  <si>
    <t>Strother Martin</t>
  </si>
  <si>
    <t>Kick-Ass</t>
  </si>
  <si>
    <t>Aaron Taylor-Johnson</t>
  </si>
  <si>
    <t>Chloë Grace Moretz</t>
  </si>
  <si>
    <t>Garrett M. Brown</t>
  </si>
  <si>
    <t>Miller's Crossing</t>
  </si>
  <si>
    <t>Joel Coen</t>
  </si>
  <si>
    <t>Ethan Coen</t>
  </si>
  <si>
    <t>Gabriel Byrne</t>
  </si>
  <si>
    <t>John Turturro</t>
  </si>
  <si>
    <t>The Hobbit: The Desolation of Smaug</t>
  </si>
  <si>
    <t>161 min</t>
  </si>
  <si>
    <t>Ken Stott</t>
  </si>
  <si>
    <t>Philadelphia</t>
  </si>
  <si>
    <t>Jonathan Demme</t>
  </si>
  <si>
    <t>Roberta Maxwell</t>
  </si>
  <si>
    <t>Buzz Kilman</t>
  </si>
  <si>
    <t>Delicatessen</t>
  </si>
  <si>
    <t>99 min</t>
  </si>
  <si>
    <t>Marc Caro</t>
  </si>
  <si>
    <t>Jean-Pierre Jeunet</t>
  </si>
  <si>
    <t>Marie-Laure Dougnac</t>
  </si>
  <si>
    <t>Dominique Pinon</t>
  </si>
  <si>
    <t>Pascal Benezech</t>
  </si>
  <si>
    <t>Deadpool 2</t>
  </si>
  <si>
    <t>David Leitch</t>
  </si>
  <si>
    <t>Julian Dennison</t>
  </si>
  <si>
    <t>La Vie En Rose</t>
  </si>
  <si>
    <t>Olivier Dahan</t>
  </si>
  <si>
    <t>Sylvie Testud</t>
  </si>
  <si>
    <t>Pascal Greggory</t>
  </si>
  <si>
    <t>Emmanuelle Seigner</t>
  </si>
  <si>
    <t>Crash</t>
  </si>
  <si>
    <t>Paul Haggis</t>
  </si>
  <si>
    <t>Don Cheadle</t>
  </si>
  <si>
    <t>Karina Arroyave</t>
  </si>
  <si>
    <t>The Breakfast Club</t>
  </si>
  <si>
    <t>Comedy, Drama</t>
  </si>
  <si>
    <t>Emilio Estevez</t>
  </si>
  <si>
    <t>Judd Nelson</t>
  </si>
  <si>
    <t>Molly Ringwald</t>
  </si>
  <si>
    <t>Ally Sheedy</t>
  </si>
  <si>
    <t>Wonder</t>
  </si>
  <si>
    <t>Drama, Family</t>
  </si>
  <si>
    <t>Stephen Chbosky</t>
  </si>
  <si>
    <t>Jacob Tremblay</t>
  </si>
  <si>
    <t>Owen Wilson</t>
  </si>
  <si>
    <t>Izabela Vidovic</t>
  </si>
  <si>
    <t>Julia Roberts</t>
  </si>
  <si>
    <t>The Shining</t>
  </si>
  <si>
    <t>Drama, Horror</t>
  </si>
  <si>
    <t>Stanley Kubrick</t>
  </si>
  <si>
    <t>Shelley Duvall</t>
  </si>
  <si>
    <t>Danny Lloyd</t>
  </si>
  <si>
    <t>Scatman Crothers</t>
  </si>
  <si>
    <t>Gladiator</t>
  </si>
  <si>
    <t>155 min</t>
  </si>
  <si>
    <t>Ridley Scott</t>
  </si>
  <si>
    <t>Russell Crowe</t>
  </si>
  <si>
    <t>Connie Nielsen</t>
  </si>
  <si>
    <t>Oliver Reed</t>
  </si>
  <si>
    <t>Synecdoche, New York</t>
  </si>
  <si>
    <t>Charlie Kaufman</t>
  </si>
  <si>
    <t>Philip Seymour Hoffman</t>
  </si>
  <si>
    <t>Samantha Morton</t>
  </si>
  <si>
    <t>Michelle Williams</t>
  </si>
  <si>
    <t>Catherine Keener</t>
  </si>
  <si>
    <t>Moon</t>
  </si>
  <si>
    <t>Duncan Jones</t>
  </si>
  <si>
    <t>Sam Rockwell</t>
  </si>
  <si>
    <t>Dominique McElligott</t>
  </si>
  <si>
    <t>Rosie Shaw</t>
  </si>
  <si>
    <t>Finding Neverland</t>
  </si>
  <si>
    <t>Marc Forster</t>
  </si>
  <si>
    <t>Kate Winslet</t>
  </si>
  <si>
    <t>Julie Christie</t>
  </si>
  <si>
    <t>In Bruges</t>
  </si>
  <si>
    <t>Martin McDonagh</t>
  </si>
  <si>
    <t>Colin Farrell</t>
  </si>
  <si>
    <t>Brendan Gleeson</t>
  </si>
  <si>
    <t>Ciarán Hinds</t>
  </si>
  <si>
    <t>Elizabeth Berrington</t>
  </si>
  <si>
    <t>Fiddler on the Roof</t>
  </si>
  <si>
    <t>1971</t>
  </si>
  <si>
    <t>181 min</t>
  </si>
  <si>
    <t>Drama, Family, Musical</t>
  </si>
  <si>
    <t>Norman Jewison</t>
  </si>
  <si>
    <t>Topol</t>
  </si>
  <si>
    <t>Norma Crane</t>
  </si>
  <si>
    <t>Leonard Frey</t>
  </si>
  <si>
    <t>Molly Picon</t>
  </si>
  <si>
    <t>Guardians of the Galaxy Vol. 2</t>
  </si>
  <si>
    <t>136 min</t>
  </si>
  <si>
    <t>James Gunn</t>
  </si>
  <si>
    <t>Chris Pratt</t>
  </si>
  <si>
    <t>Zoe Saldana</t>
  </si>
  <si>
    <t>Dave Bautista</t>
  </si>
  <si>
    <t>Vin Diesel</t>
  </si>
  <si>
    <t>3 Idiots</t>
  </si>
  <si>
    <t>Rajkumar Hirani</t>
  </si>
  <si>
    <t>Aamir Khan</t>
  </si>
  <si>
    <t>Madhavan</t>
  </si>
  <si>
    <t>Mona Singh</t>
  </si>
  <si>
    <t>Sharman Joshi</t>
  </si>
  <si>
    <t>As Good as It Gets</t>
  </si>
  <si>
    <t>James L. Brooks</t>
  </si>
  <si>
    <t>Helen Hunt</t>
  </si>
  <si>
    <t>Greg Kinnear</t>
  </si>
  <si>
    <t>Cuba Gooding Jr.</t>
  </si>
  <si>
    <t>Veer-Zaara</t>
  </si>
  <si>
    <t>192 min</t>
  </si>
  <si>
    <t>Yash Chopra</t>
  </si>
  <si>
    <t>Rani Mukerji</t>
  </si>
  <si>
    <t>Kirron Kher</t>
  </si>
  <si>
    <t>The Perks of Being a Wallflower</t>
  </si>
  <si>
    <t>Logan Lerman</t>
  </si>
  <si>
    <t>Ezra Miller</t>
  </si>
  <si>
    <t>Paul Rudd</t>
  </si>
  <si>
    <t>Willy Wonka &amp; the Chocolate Factory</t>
  </si>
  <si>
    <t>Family, Fantasy, Musical</t>
  </si>
  <si>
    <t>Mel Stuart</t>
  </si>
  <si>
    <t>Gene Wilder</t>
  </si>
  <si>
    <t>Jack Albertson</t>
  </si>
  <si>
    <t>Peter Ostrum</t>
  </si>
  <si>
    <t>Roy Kinnear</t>
  </si>
  <si>
    <t>Family</t>
  </si>
  <si>
    <t>The Bourne Identity</t>
  </si>
  <si>
    <t>Action, Mystery, Thriller</t>
  </si>
  <si>
    <t>Doug Liman</t>
  </si>
  <si>
    <t>Matt Damon</t>
  </si>
  <si>
    <t>Chris Cooper</t>
  </si>
  <si>
    <t>Clive Owen</t>
  </si>
  <si>
    <t>The Hateful Eight</t>
  </si>
  <si>
    <t>2015</t>
  </si>
  <si>
    <t>168 min</t>
  </si>
  <si>
    <t>Quentin Tarantino</t>
  </si>
  <si>
    <t>Walton Goggins</t>
  </si>
  <si>
    <t>The World's Fastest Indian</t>
  </si>
  <si>
    <t>Roger Donaldson</t>
  </si>
  <si>
    <t>Anthony Hopkins</t>
  </si>
  <si>
    <t>Diane Ladd</t>
  </si>
  <si>
    <t>Iain Rea</t>
  </si>
  <si>
    <t>Tessa Mitchell</t>
  </si>
  <si>
    <t>Jurassic Park</t>
  </si>
  <si>
    <t>Sam Neill</t>
  </si>
  <si>
    <t>Laura Dern</t>
  </si>
  <si>
    <t>Jeff Goldblum</t>
  </si>
  <si>
    <t>Richard Attenborough</t>
  </si>
  <si>
    <t>End of Watch</t>
  </si>
  <si>
    <t>David Ayer</t>
  </si>
  <si>
    <t>Jake Gyllenhaal</t>
  </si>
  <si>
    <t>Michael Peña</t>
  </si>
  <si>
    <t>Anna Kendrick</t>
  </si>
  <si>
    <t>America Ferrera</t>
  </si>
  <si>
    <t>Avengers: Infinity War</t>
  </si>
  <si>
    <t>149 min</t>
  </si>
  <si>
    <t>Anthony Russo</t>
  </si>
  <si>
    <t>Joe Russo</t>
  </si>
  <si>
    <t>Chris Hemsworth</t>
  </si>
  <si>
    <t>Good Bye Lenin!</t>
  </si>
  <si>
    <t>Wolfgang Becker</t>
  </si>
  <si>
    <t>Daniel Brühl</t>
  </si>
  <si>
    <t>Katrin Saß</t>
  </si>
  <si>
    <t>Chulpan Khamatova</t>
  </si>
  <si>
    <t>Florian Lukas</t>
  </si>
  <si>
    <t>My Cousin Vinny</t>
  </si>
  <si>
    <t>Jonathan Lynn</t>
  </si>
  <si>
    <t>Marisa Tomei</t>
  </si>
  <si>
    <t>Ralph Macchio</t>
  </si>
  <si>
    <t>Mitchell Whitfield</t>
  </si>
  <si>
    <t>Chak De! India</t>
  </si>
  <si>
    <t>Drama, Family, Sport</t>
  </si>
  <si>
    <t>Shimit Amin</t>
  </si>
  <si>
    <t>Vidya Malvade</t>
  </si>
  <si>
    <t>Sagarika Ghatge</t>
  </si>
  <si>
    <t>Shilpa Shukla</t>
  </si>
  <si>
    <t>Okuribito</t>
  </si>
  <si>
    <t>Yôjirô Takita</t>
  </si>
  <si>
    <t>Masahiro Motoki</t>
  </si>
  <si>
    <t>Ryôko Hirosue</t>
  </si>
  <si>
    <t>Tsutomu Yamazaki</t>
  </si>
  <si>
    <t>Kazuko Yoshiyuki</t>
  </si>
  <si>
    <t>Apocalypto</t>
  </si>
  <si>
    <t>Mel Gibson</t>
  </si>
  <si>
    <t>Gerardo Taracena</t>
  </si>
  <si>
    <t>Raoul Max Trujillo</t>
  </si>
  <si>
    <t>Dalia Hernández</t>
  </si>
  <si>
    <t>Rudy Youngblood</t>
  </si>
  <si>
    <t>Braveheart</t>
  </si>
  <si>
    <t>Biography, Drama, History</t>
  </si>
  <si>
    <t>Sophie Marceau</t>
  </si>
  <si>
    <t>Patrick McGoohan</t>
  </si>
  <si>
    <t>Angus Macfadyen</t>
  </si>
  <si>
    <t>25th Hour</t>
  </si>
  <si>
    <t>135 min</t>
  </si>
  <si>
    <t>Spike Lee</t>
  </si>
  <si>
    <t>Barry Pepper</t>
  </si>
  <si>
    <t>On Golden Pond</t>
  </si>
  <si>
    <t>1981</t>
  </si>
  <si>
    <t>Mark Rydell</t>
  </si>
  <si>
    <t>Katharine Hepburn</t>
  </si>
  <si>
    <t>Henry Fonda</t>
  </si>
  <si>
    <t>Jane Fonda</t>
  </si>
  <si>
    <t>Doug McKeon</t>
  </si>
  <si>
    <t>Night on Earth</t>
  </si>
  <si>
    <t>Winona Ryder</t>
  </si>
  <si>
    <t>Lisanne Falk</t>
  </si>
  <si>
    <t>Alan Randolph Scott</t>
  </si>
  <si>
    <t>Office Space</t>
  </si>
  <si>
    <t>89 min</t>
  </si>
  <si>
    <t>Mike Judge</t>
  </si>
  <si>
    <t>Ron Livingston</t>
  </si>
  <si>
    <t>Jennifer Aniston</t>
  </si>
  <si>
    <t>David Herman</t>
  </si>
  <si>
    <t>Ajay Naidu</t>
  </si>
  <si>
    <t>Requiem for a Dream</t>
  </si>
  <si>
    <t>102 min</t>
  </si>
  <si>
    <t>Darren Aronofsky</t>
  </si>
  <si>
    <t>Ellen Burstyn</t>
  </si>
  <si>
    <t>Marlon Wayans</t>
  </si>
  <si>
    <t>The Illusionist</t>
  </si>
  <si>
    <t>Drama, Fantasy, Mystery</t>
  </si>
  <si>
    <t>Neil Burger</t>
  </si>
  <si>
    <t>Jessica Biel</t>
  </si>
  <si>
    <t>Paul Giamatti</t>
  </si>
  <si>
    <t>Lethal Weapon</t>
  </si>
  <si>
    <t>Gary Busey</t>
  </si>
  <si>
    <t>Mitchell Ryan</t>
  </si>
  <si>
    <t>Training Day</t>
  </si>
  <si>
    <t>Antoine Fuqua</t>
  </si>
  <si>
    <t>Scott Glenn</t>
  </si>
  <si>
    <t>Tom Berenger</t>
  </si>
  <si>
    <t>Lion</t>
  </si>
  <si>
    <t>Garth Davis</t>
  </si>
  <si>
    <t>Dev Patel</t>
  </si>
  <si>
    <t>Rooney Mara</t>
  </si>
  <si>
    <t>Sunny Pawar</t>
  </si>
  <si>
    <t>The Outlaw Josey Wales</t>
  </si>
  <si>
    <t>1976</t>
  </si>
  <si>
    <t>Western</t>
  </si>
  <si>
    <t>Sondra Locke</t>
  </si>
  <si>
    <t>Chief Dan George</t>
  </si>
  <si>
    <t>O Brother, Where Art Thou?</t>
  </si>
  <si>
    <t>Adventure, Comedy, Crime</t>
  </si>
  <si>
    <t>George Clooney</t>
  </si>
  <si>
    <t>Tim Blake Nelson</t>
  </si>
  <si>
    <t>Barton Fink</t>
  </si>
  <si>
    <t>Comedy, Drama, Thriller</t>
  </si>
  <si>
    <t>John Goodman</t>
  </si>
  <si>
    <t>Judy Davis</t>
  </si>
  <si>
    <t>Amélie</t>
  </si>
  <si>
    <t>Comedy, Romance</t>
  </si>
  <si>
    <t>Audrey Tautou</t>
  </si>
  <si>
    <t>Mathieu Kassovitz</t>
  </si>
  <si>
    <t>Rufus</t>
  </si>
  <si>
    <t>Lorella Cravotta</t>
  </si>
  <si>
    <t>The Avengers</t>
  </si>
  <si>
    <t>Joss Whedon</t>
  </si>
  <si>
    <t>Jeremy Renner</t>
  </si>
  <si>
    <t>The Bridges of Madison County</t>
  </si>
  <si>
    <t>Meryl Streep</t>
  </si>
  <si>
    <t>Annie Corley</t>
  </si>
  <si>
    <t>Victor Slezak</t>
  </si>
  <si>
    <t>The Fault in Our Stars</t>
  </si>
  <si>
    <t>Josh Boone</t>
  </si>
  <si>
    <t>Shailene Woodley</t>
  </si>
  <si>
    <t>Ansel Elgort</t>
  </si>
  <si>
    <t>Nat Wolff</t>
  </si>
  <si>
    <t>Doctor Zhivago</t>
  </si>
  <si>
    <t>197 min</t>
  </si>
  <si>
    <t>Drama, Romance, War</t>
  </si>
  <si>
    <t>David Lean</t>
  </si>
  <si>
    <t>Omar Sharif</t>
  </si>
  <si>
    <t>Geraldine Chaplin</t>
  </si>
  <si>
    <t>Rod Steiger</t>
  </si>
  <si>
    <t>Kill Bill: Vol. 1</t>
  </si>
  <si>
    <t>111 min</t>
  </si>
  <si>
    <t>David Carradine</t>
  </si>
  <si>
    <t>Daryl Hannah</t>
  </si>
  <si>
    <t>Michael Madsen</t>
  </si>
  <si>
    <t>Cinderella Man</t>
  </si>
  <si>
    <t>Ron Howard</t>
  </si>
  <si>
    <t>Renée Zellweger</t>
  </si>
  <si>
    <t>Craig Bierko</t>
  </si>
  <si>
    <t>Inglourious Basterds</t>
  </si>
  <si>
    <t>Adventure, Drama, War</t>
  </si>
  <si>
    <t>Eli Roth</t>
  </si>
  <si>
    <t>Mélanie Laurent</t>
  </si>
  <si>
    <t>Green Book</t>
  </si>
  <si>
    <t>Peter Farrelly</t>
  </si>
  <si>
    <t>Viggo Mortensen</t>
  </si>
  <si>
    <t>Mahershala Ali</t>
  </si>
  <si>
    <t>Linda Cardellini</t>
  </si>
  <si>
    <t>Sebastian Maniscalco</t>
  </si>
  <si>
    <t>21 Grams</t>
  </si>
  <si>
    <t>Alejandro G. Iñárritu</t>
  </si>
  <si>
    <t>Naomi Watts</t>
  </si>
  <si>
    <t>Danny Huston</t>
  </si>
  <si>
    <t>En man som heter Ove</t>
  </si>
  <si>
    <t>Hannes Holm</t>
  </si>
  <si>
    <t>Rolf Lassgård</t>
  </si>
  <si>
    <t>Bahar Pars</t>
  </si>
  <si>
    <t>Filip Berg</t>
  </si>
  <si>
    <t>Ida Engvoll</t>
  </si>
  <si>
    <t>Prisoners</t>
  </si>
  <si>
    <t>Denis Villeneuve</t>
  </si>
  <si>
    <t>Melissa Leo</t>
  </si>
  <si>
    <t>Huo Yuan Jia</t>
  </si>
  <si>
    <t>Ronny Yu</t>
  </si>
  <si>
    <t>Jet Li</t>
  </si>
  <si>
    <t>Li Sun</t>
  </si>
  <si>
    <t>Yong Dong</t>
  </si>
  <si>
    <t>Yun Qu</t>
  </si>
  <si>
    <t>Joyeux Noël</t>
  </si>
  <si>
    <t>Drama, History, Music</t>
  </si>
  <si>
    <t>Christian Carion</t>
  </si>
  <si>
    <t>Benno Fürmann</t>
  </si>
  <si>
    <t>Natalie Dessay</t>
  </si>
  <si>
    <t>Rocky</t>
  </si>
  <si>
    <t>John G. Avildsen</t>
  </si>
  <si>
    <t>Burt Young</t>
  </si>
  <si>
    <t>Captain America: The Winter Soldier</t>
  </si>
  <si>
    <t>Le Petit Prince</t>
  </si>
  <si>
    <t>Animation, Adventure, Drama</t>
  </si>
  <si>
    <t>Mark Osborne</t>
  </si>
  <si>
    <t>Jeff Bridges</t>
  </si>
  <si>
    <t>Mackenzie Foy</t>
  </si>
  <si>
    <t>The Curious Case of Benjamin Button</t>
  </si>
  <si>
    <t>166 min</t>
  </si>
  <si>
    <t>Cate Blanchett</t>
  </si>
  <si>
    <t>Tilda Swinton</t>
  </si>
  <si>
    <t>Julia Ormond</t>
  </si>
  <si>
    <t>Ed Wood</t>
  </si>
  <si>
    <t>Martin Landau</t>
  </si>
  <si>
    <t>Sarah Jessica Parker</t>
  </si>
  <si>
    <t>Clerks</t>
  </si>
  <si>
    <t>Kevin Smith</t>
  </si>
  <si>
    <t>Brian O'Halloran</t>
  </si>
  <si>
    <t>Jeff Anderson</t>
  </si>
  <si>
    <t>Marilyn Ghigliotti</t>
  </si>
  <si>
    <t>Lisa Spoonauer</t>
  </si>
  <si>
    <t>Good Will Hunting</t>
  </si>
  <si>
    <t>Gus Van Sant</t>
  </si>
  <si>
    <t>Robin Williams</t>
  </si>
  <si>
    <t>Ben Affleck</t>
  </si>
  <si>
    <t>Stellan Skarsgård</t>
  </si>
  <si>
    <t>Batman Begins</t>
  </si>
  <si>
    <t>The Peanut Butter Falcon</t>
  </si>
  <si>
    <t>Tyler Nilson</t>
  </si>
  <si>
    <t>Michael Schwartz</t>
  </si>
  <si>
    <t>Zack Gottsagen</t>
  </si>
  <si>
    <t>Ann Owens</t>
  </si>
  <si>
    <t>Dakota Johnson</t>
  </si>
  <si>
    <t>La piel que habito</t>
  </si>
  <si>
    <t>Drama, Horror, Thriller</t>
  </si>
  <si>
    <t>Pedro Almodóvar</t>
  </si>
  <si>
    <t>Antonio Banderas</t>
  </si>
  <si>
    <t>Elena Anaya</t>
  </si>
  <si>
    <t>Jan Cornet</t>
  </si>
  <si>
    <t>Marisa Paredes</t>
  </si>
  <si>
    <t>Searching</t>
  </si>
  <si>
    <t>U/A</t>
  </si>
  <si>
    <t>Aneesh Chaganty</t>
  </si>
  <si>
    <t>John Cho</t>
  </si>
  <si>
    <t>Debra Messing</t>
  </si>
  <si>
    <t>Joseph Lee</t>
  </si>
  <si>
    <t>Michelle La</t>
  </si>
  <si>
    <t>Hacksaw Ridge</t>
  </si>
  <si>
    <t>Andrew Garfield</t>
  </si>
  <si>
    <t>Sam Worthington</t>
  </si>
  <si>
    <t>Luke Bracey</t>
  </si>
  <si>
    <t>Teresa Palmer</t>
  </si>
  <si>
    <t>Tangled</t>
  </si>
  <si>
    <t>Animation, Adventure, Comedy</t>
  </si>
  <si>
    <t>Nathan Greno</t>
  </si>
  <si>
    <t>Byron Howard</t>
  </si>
  <si>
    <t>Mandy Moore</t>
  </si>
  <si>
    <t>Zachary Levi</t>
  </si>
  <si>
    <t>Donna Murphy</t>
  </si>
  <si>
    <t>Edge of Tomorrow</t>
  </si>
  <si>
    <t>Emily Blunt</t>
  </si>
  <si>
    <t>Bill Paxton</t>
  </si>
  <si>
    <t>The Girl with the Dragon Tattoo</t>
  </si>
  <si>
    <t>158 min</t>
  </si>
  <si>
    <t>Daniel Craig</t>
  </si>
  <si>
    <t>Serbuan maut 2: Berandal</t>
  </si>
  <si>
    <t>150 min</t>
  </si>
  <si>
    <t>Gareth Evans</t>
  </si>
  <si>
    <t>Iko Uwais</t>
  </si>
  <si>
    <t>Yayan Ruhian</t>
  </si>
  <si>
    <t>Arifin Putra</t>
  </si>
  <si>
    <t>Oka Antara</t>
  </si>
  <si>
    <t>Warrior</t>
  </si>
  <si>
    <t>Action, Drama, Sport</t>
  </si>
  <si>
    <t>Gavin O'Connor</t>
  </si>
  <si>
    <t>Tom Hardy</t>
  </si>
  <si>
    <t>Nick Nolte</t>
  </si>
  <si>
    <t>Joel Edgerton</t>
  </si>
  <si>
    <t>Jennifer Morrison</t>
  </si>
  <si>
    <t>Ghostbusters</t>
  </si>
  <si>
    <t>1984</t>
  </si>
  <si>
    <t>105 min</t>
  </si>
  <si>
    <t>Action, Comedy, Fantasy</t>
  </si>
  <si>
    <t>Ivan Reitman</t>
  </si>
  <si>
    <t>Bill Murray</t>
  </si>
  <si>
    <t>Sigourney Weaver</t>
  </si>
  <si>
    <t>Harold Ramis</t>
  </si>
  <si>
    <t>Dawn of the Dead</t>
  </si>
  <si>
    <t>Action, Adventure, Horror</t>
  </si>
  <si>
    <t>George A. Romero</t>
  </si>
  <si>
    <t>David Emge</t>
  </si>
  <si>
    <t>Ken Foree</t>
  </si>
  <si>
    <t>Scott H. Reiniger</t>
  </si>
  <si>
    <t>Gaylen Ross</t>
  </si>
  <si>
    <t>Zwartboek</t>
  </si>
  <si>
    <t>145 min</t>
  </si>
  <si>
    <t>Drama, Thriller, War</t>
  </si>
  <si>
    <t>Paul Verhoeven</t>
  </si>
  <si>
    <t>Carice van Houten</t>
  </si>
  <si>
    <t>Sebastian Koch</t>
  </si>
  <si>
    <t>Thom Hoffman</t>
  </si>
  <si>
    <t>Halina Reijn</t>
  </si>
  <si>
    <t>Mulan</t>
  </si>
  <si>
    <t>88 min</t>
  </si>
  <si>
    <t>Tony Bancroft</t>
  </si>
  <si>
    <t>Barry Cook</t>
  </si>
  <si>
    <t>Ming-Na Wen</t>
  </si>
  <si>
    <t>Eddie Murphy</t>
  </si>
  <si>
    <t>BD Wong</t>
  </si>
  <si>
    <t>Le locataire</t>
  </si>
  <si>
    <t>Roman Polanski</t>
  </si>
  <si>
    <t>Isabelle Adjani</t>
  </si>
  <si>
    <t>Melvyn Douglas</t>
  </si>
  <si>
    <t>Jo Van Fleet</t>
  </si>
  <si>
    <t>Planes, Trains &amp; Automobiles</t>
  </si>
  <si>
    <t>Steve Martin</t>
  </si>
  <si>
    <t>Laila Robins</t>
  </si>
  <si>
    <t>Michael McKean</t>
  </si>
  <si>
    <t>Captain Fantastic</t>
  </si>
  <si>
    <t>Matt Ross</t>
  </si>
  <si>
    <t>George MacKay</t>
  </si>
  <si>
    <t>Samantha Isler</t>
  </si>
  <si>
    <t>Annalise Basso</t>
  </si>
  <si>
    <t>Walk the Line</t>
  </si>
  <si>
    <t>James Mangold</t>
  </si>
  <si>
    <t>Reese Witherspoon</t>
  </si>
  <si>
    <t>Ginnifer Goodwin</t>
  </si>
  <si>
    <t>Robert Patrick</t>
  </si>
  <si>
    <t>Straight Outta Compton</t>
  </si>
  <si>
    <t>F. Gary Gray</t>
  </si>
  <si>
    <t>O'Shea Jackson Jr.</t>
  </si>
  <si>
    <t>Corey Hawkins</t>
  </si>
  <si>
    <t>Jason Mitchell</t>
  </si>
  <si>
    <t>Neil Brown Jr.</t>
  </si>
  <si>
    <t>The Theory of Everything</t>
  </si>
  <si>
    <t>Biography, Drama, Romance</t>
  </si>
  <si>
    <t>James Marsh</t>
  </si>
  <si>
    <t>Eddie Redmayne</t>
  </si>
  <si>
    <t>Tom Prior</t>
  </si>
  <si>
    <t>Sophie Perry</t>
  </si>
  <si>
    <t>Gran Torino</t>
  </si>
  <si>
    <t>Bee Vang</t>
  </si>
  <si>
    <t>Christopher Carley</t>
  </si>
  <si>
    <t>Ahney Her</t>
  </si>
  <si>
    <t>Star Trek Into Darkness</t>
  </si>
  <si>
    <t>J.J. Abrams</t>
  </si>
  <si>
    <t>Chris Pine</t>
  </si>
  <si>
    <t>Zachary Quinto</t>
  </si>
  <si>
    <t>Benedict Cumberbatch</t>
  </si>
  <si>
    <t>Bin-jip</t>
  </si>
  <si>
    <t>Ki-duk Kim</t>
  </si>
  <si>
    <t>Seung-Yun Lee</t>
  </si>
  <si>
    <t>Hee Jae</t>
  </si>
  <si>
    <t>Hyuk-ho Kwon</t>
  </si>
  <si>
    <t>Jin-mo Joo</t>
  </si>
  <si>
    <t>A Man for All Seasons</t>
  </si>
  <si>
    <t>1966</t>
  </si>
  <si>
    <t>Fred Zinnemann</t>
  </si>
  <si>
    <t>Paul Scofield</t>
  </si>
  <si>
    <t>Wendy Hiller</t>
  </si>
  <si>
    <t>Robert Shaw</t>
  </si>
  <si>
    <t>Leo McKern</t>
  </si>
  <si>
    <t>Despicable Me</t>
  </si>
  <si>
    <t>Animation, Comedy, Crime</t>
  </si>
  <si>
    <t>Pierre Coffin</t>
  </si>
  <si>
    <t>Chris Renaud</t>
  </si>
  <si>
    <t>Steve Carell</t>
  </si>
  <si>
    <t>Jason Segel</t>
  </si>
  <si>
    <t>Russell Brand</t>
  </si>
  <si>
    <t>Dances with Wolves</t>
  </si>
  <si>
    <t>Adventure, Drama, Western</t>
  </si>
  <si>
    <t>Kevin Costner</t>
  </si>
  <si>
    <t>Mary McDonnell</t>
  </si>
  <si>
    <t>Rodney A. Grant</t>
  </si>
  <si>
    <t>Evil Dead II</t>
  </si>
  <si>
    <t>84 min</t>
  </si>
  <si>
    <t>Sam Raimi</t>
  </si>
  <si>
    <t>Bruce Campbell</t>
  </si>
  <si>
    <t>Sarah Berry</t>
  </si>
  <si>
    <t>Dan Hicks</t>
  </si>
  <si>
    <t>Kassie Wesley DePaiva</t>
  </si>
  <si>
    <t>A Beautiful Mind</t>
  </si>
  <si>
    <t>Ace in the Hole</t>
  </si>
  <si>
    <t>1951</t>
  </si>
  <si>
    <t>Approved</t>
  </si>
  <si>
    <t>Drama, Film-Noir</t>
  </si>
  <si>
    <t>Billy Wilder</t>
  </si>
  <si>
    <t>Kirk Douglas</t>
  </si>
  <si>
    <t>Jan Sterling</t>
  </si>
  <si>
    <t>Robert Arthur</t>
  </si>
  <si>
    <t>Porter Hall</t>
  </si>
  <si>
    <t>Road to Perdition</t>
  </si>
  <si>
    <t>Sam Mendes</t>
  </si>
  <si>
    <t>Tyler Hoechlin</t>
  </si>
  <si>
    <t>Rob Maxey</t>
  </si>
  <si>
    <t>Liam Aiken</t>
  </si>
  <si>
    <t>50/50</t>
  </si>
  <si>
    <t>Jonathan Levine</t>
  </si>
  <si>
    <t>Joseph Gordon-Levitt</t>
  </si>
  <si>
    <t>Seth Rogen</t>
  </si>
  <si>
    <t>Wreck-It Ralph</t>
  </si>
  <si>
    <t>Rich Moore</t>
  </si>
  <si>
    <t>John C. Reilly</t>
  </si>
  <si>
    <t>Jack McBrayer</t>
  </si>
  <si>
    <t>Jane Lynch</t>
  </si>
  <si>
    <t>Sarah Silverman</t>
  </si>
  <si>
    <t>JFK</t>
  </si>
  <si>
    <t>Drama, History, Thriller</t>
  </si>
  <si>
    <t>Oliver Stone</t>
  </si>
  <si>
    <t>Jack Lemmon</t>
  </si>
  <si>
    <t>Walter Matthau</t>
  </si>
  <si>
    <t>Gone Baby Gone</t>
  </si>
  <si>
    <t>Casey Affleck</t>
  </si>
  <si>
    <t>Michelle Monaghan</t>
  </si>
  <si>
    <t>Only the Brave</t>
  </si>
  <si>
    <t>Joseph Kosinski</t>
  </si>
  <si>
    <t>Miles Teller</t>
  </si>
  <si>
    <t>Die Hard</t>
  </si>
  <si>
    <t>Alan Rickman</t>
  </si>
  <si>
    <t>Bonnie Bedelia</t>
  </si>
  <si>
    <t>Reginald VelJohnson</t>
  </si>
  <si>
    <t>Omoide no Mânî</t>
  </si>
  <si>
    <t>Animation, Drama, Family</t>
  </si>
  <si>
    <t>James Simone</t>
  </si>
  <si>
    <t>Hiromasa Yonebayashi</t>
  </si>
  <si>
    <t>Sara Takatsuki</t>
  </si>
  <si>
    <t>Kasumi Arimura</t>
  </si>
  <si>
    <t>Nanako Matsushima</t>
  </si>
  <si>
    <t>All That Jazz</t>
  </si>
  <si>
    <t>Drama, Music, Musical</t>
  </si>
  <si>
    <t>Bob Fosse</t>
  </si>
  <si>
    <t>Roy Scheider</t>
  </si>
  <si>
    <t>Ann Reinking</t>
  </si>
  <si>
    <t>Leland Palmer</t>
  </si>
  <si>
    <t>Groundhog Day</t>
  </si>
  <si>
    <t>Comedy, Fantasy, Romance</t>
  </si>
  <si>
    <t>Andie MacDowell</t>
  </si>
  <si>
    <t>Chris Elliott</t>
  </si>
  <si>
    <t>Stephen Tobolowsky</t>
  </si>
  <si>
    <t>Crna macka, beli macor</t>
  </si>
  <si>
    <t>Comedy, Crime, Romance</t>
  </si>
  <si>
    <t>Emir Kusturica</t>
  </si>
  <si>
    <t>Bajram Severdzan</t>
  </si>
  <si>
    <t>Srdjan 'Zika' Todorovic</t>
  </si>
  <si>
    <t>Branka Katic</t>
  </si>
  <si>
    <t>Florijan Ajdini</t>
  </si>
  <si>
    <t>Into the Wild</t>
  </si>
  <si>
    <t>148 min</t>
  </si>
  <si>
    <t>Adventure, Biography, Drama</t>
  </si>
  <si>
    <t>Emile Hirsch</t>
  </si>
  <si>
    <t>Vince Vaughn</t>
  </si>
  <si>
    <t>Marcia Gay Harden</t>
  </si>
  <si>
    <t>Casino</t>
  </si>
  <si>
    <t>Sharon Stone</t>
  </si>
  <si>
    <t>James Woods</t>
  </si>
  <si>
    <t>Mysterious Skin</t>
  </si>
  <si>
    <t>Gregg Araki</t>
  </si>
  <si>
    <t>Brady Corbet</t>
  </si>
  <si>
    <t>Elisabeth Shue</t>
  </si>
  <si>
    <t>Chase Ellison</t>
  </si>
  <si>
    <t>Ray</t>
  </si>
  <si>
    <t>Jamie Foxx</t>
  </si>
  <si>
    <t>Regina King</t>
  </si>
  <si>
    <t>Kerry Washington</t>
  </si>
  <si>
    <t>Clifton Powell</t>
  </si>
  <si>
    <t>Zombieland</t>
  </si>
  <si>
    <t>Adventure, Comedy, Fantasy</t>
  </si>
  <si>
    <t>Ruben Fleischer</t>
  </si>
  <si>
    <t>Jesse Eisenberg</t>
  </si>
  <si>
    <t>Abigail Breslin</t>
  </si>
  <si>
    <t>Wind River</t>
  </si>
  <si>
    <t>Taylor Sheridan</t>
  </si>
  <si>
    <t>Kelsey Asbille</t>
  </si>
  <si>
    <t>Julia Jones</t>
  </si>
  <si>
    <t>Teo Briones</t>
  </si>
  <si>
    <t>The King of Comedy</t>
  </si>
  <si>
    <t>Jerry Lewis</t>
  </si>
  <si>
    <t>Diahnne Abbott</t>
  </si>
  <si>
    <t>Sandra Bernhard</t>
  </si>
  <si>
    <t>Cast Away</t>
  </si>
  <si>
    <t>Adventure, Drama, Romance</t>
  </si>
  <si>
    <t>Paul Sanchez</t>
  </si>
  <si>
    <t>Lari White</t>
  </si>
  <si>
    <t>The Hangover</t>
  </si>
  <si>
    <t>Zach Galifianakis</t>
  </si>
  <si>
    <t>Bradley Cooper</t>
  </si>
  <si>
    <t>Justin Bartha</t>
  </si>
  <si>
    <t>Ed Helms</t>
  </si>
  <si>
    <t>The Matrix</t>
  </si>
  <si>
    <t>Action, Sci-Fi</t>
  </si>
  <si>
    <t>Lana Wachowski</t>
  </si>
  <si>
    <t>Lilly Wachowski</t>
  </si>
  <si>
    <t>Keanu Reeves</t>
  </si>
  <si>
    <t>Laurence Fishburne</t>
  </si>
  <si>
    <t>Carrie-Anne Moss</t>
  </si>
  <si>
    <t>South Park: Bigger, Longer &amp; Uncut</t>
  </si>
  <si>
    <t>81 min</t>
  </si>
  <si>
    <t>Animation, Comedy, Fantasy</t>
  </si>
  <si>
    <t>Trey Parker</t>
  </si>
  <si>
    <t>Matt Stone</t>
  </si>
  <si>
    <t>Mary Kay Bergman</t>
  </si>
  <si>
    <t>Isaac Hayes</t>
  </si>
  <si>
    <t>The Imitation Game</t>
  </si>
  <si>
    <t>Biography, Drama, Thriller</t>
  </si>
  <si>
    <t>Morten Tyldum</t>
  </si>
  <si>
    <t>Matthew Goode</t>
  </si>
  <si>
    <t>Allen Leech</t>
  </si>
  <si>
    <t>What's Eating Gilbert Grape</t>
  </si>
  <si>
    <t>Lasse Hallström</t>
  </si>
  <si>
    <t>Juliette Lewis</t>
  </si>
  <si>
    <t>Mary Steenburgen</t>
  </si>
  <si>
    <t>La planète sauvage</t>
  </si>
  <si>
    <t>72 min</t>
  </si>
  <si>
    <t>Animation, Sci-Fi</t>
  </si>
  <si>
    <t>René Laloux</t>
  </si>
  <si>
    <t>Barry Bostwick</t>
  </si>
  <si>
    <t>Jennifer Drake</t>
  </si>
  <si>
    <t>Eric Baugin</t>
  </si>
  <si>
    <t>Jean Topart</t>
  </si>
  <si>
    <t>28 Days Later...</t>
  </si>
  <si>
    <t>Drama, Horror, Sci-Fi</t>
  </si>
  <si>
    <t>Danny Boyle</t>
  </si>
  <si>
    <t>Cillian Murphy</t>
  </si>
  <si>
    <t>Naomie Harris</t>
  </si>
  <si>
    <t>Christopher Eccleston</t>
  </si>
  <si>
    <t>Alex Palmer</t>
  </si>
  <si>
    <t>The Bourne Supremacy</t>
  </si>
  <si>
    <t>Paul Greengrass</t>
  </si>
  <si>
    <t>Joan Allen</t>
  </si>
  <si>
    <t>Brian Cox</t>
  </si>
  <si>
    <t>Malcolm X</t>
  </si>
  <si>
    <t>202 min</t>
  </si>
  <si>
    <t>Angela Bassett</t>
  </si>
  <si>
    <t>Delroy Lindo</t>
  </si>
  <si>
    <t>Serbuan maut</t>
  </si>
  <si>
    <t>Ananda George</t>
  </si>
  <si>
    <t>Ray Sahetapy</t>
  </si>
  <si>
    <t>Donny Alamsyah</t>
  </si>
  <si>
    <t>Blazing Saddles</t>
  </si>
  <si>
    <t>1974</t>
  </si>
  <si>
    <t>Comedy, Western</t>
  </si>
  <si>
    <t>Mel Brooks</t>
  </si>
  <si>
    <t>Cleavon Little</t>
  </si>
  <si>
    <t>Slim Pickens</t>
  </si>
  <si>
    <t>Harvey Korman</t>
  </si>
  <si>
    <t>Le dîner de cons</t>
  </si>
  <si>
    <t>80 min</t>
  </si>
  <si>
    <t>Francis Veber</t>
  </si>
  <si>
    <t>Thierry Lhermitte</t>
  </si>
  <si>
    <t>Jacques Villeret</t>
  </si>
  <si>
    <t>Francis Huster</t>
  </si>
  <si>
    <t>Daniel Prévost</t>
  </si>
  <si>
    <t>Mr. Smith Goes to Washington</t>
  </si>
  <si>
    <t>1939</t>
  </si>
  <si>
    <t>Passed</t>
  </si>
  <si>
    <t>Frank Capra</t>
  </si>
  <si>
    <t>James Stewart</t>
  </si>
  <si>
    <t>Jean Arthur</t>
  </si>
  <si>
    <t>Claude Rains</t>
  </si>
  <si>
    <t>Edward Arnold</t>
  </si>
  <si>
    <t>Big Hero 6</t>
  </si>
  <si>
    <t>Animation, Action, Adventure</t>
  </si>
  <si>
    <t>Don Hall</t>
  </si>
  <si>
    <t>Chris Williams</t>
  </si>
  <si>
    <t>Ryan Potter</t>
  </si>
  <si>
    <t>Scott Adsit</t>
  </si>
  <si>
    <t>Jamie Chung</t>
  </si>
  <si>
    <t>Mommy</t>
  </si>
  <si>
    <t>Xavier Dolan</t>
  </si>
  <si>
    <t>Anne Dorval</t>
  </si>
  <si>
    <t>Antoine Olivier Pilon</t>
  </si>
  <si>
    <t>Suzanne Clément</t>
  </si>
  <si>
    <t>Patrick Huard</t>
  </si>
  <si>
    <t>The Muppet Movie</t>
  </si>
  <si>
    <t>James Frawley</t>
  </si>
  <si>
    <t>Jim Henson</t>
  </si>
  <si>
    <t>Frank Oz</t>
  </si>
  <si>
    <t>Jerry Nelson</t>
  </si>
  <si>
    <t>Richard Hunt</t>
  </si>
  <si>
    <t>Inception</t>
  </si>
  <si>
    <t>Elliot Page</t>
  </si>
  <si>
    <t>Mar adentro</t>
  </si>
  <si>
    <t>Alejandro Amenábar</t>
  </si>
  <si>
    <t>Javier Bardem</t>
  </si>
  <si>
    <t>Belén Rueda</t>
  </si>
  <si>
    <t>Lola Dueñas</t>
  </si>
  <si>
    <t>Mabel Rivera</t>
  </si>
  <si>
    <t>Awakenings</t>
  </si>
  <si>
    <t>Penny Marshall</t>
  </si>
  <si>
    <t>Julie Kavner</t>
  </si>
  <si>
    <t>Ruth Nelson</t>
  </si>
  <si>
    <t>The Last King of Scotland</t>
  </si>
  <si>
    <t>Kevin Macdonald</t>
  </si>
  <si>
    <t>Forest Whitaker</t>
  </si>
  <si>
    <t>Gillian Anderson</t>
  </si>
  <si>
    <t>Thor: Ragnarok</t>
  </si>
  <si>
    <t>Tom Hiddleston</t>
  </si>
  <si>
    <t>The Hurricane</t>
  </si>
  <si>
    <t>Vicellous Shannon</t>
  </si>
  <si>
    <t>Liev Schreiber</t>
  </si>
  <si>
    <t>The Others</t>
  </si>
  <si>
    <t>Fionnula Flanagan</t>
  </si>
  <si>
    <t>Alakina Mann</t>
  </si>
  <si>
    <t>Hidden Figures</t>
  </si>
  <si>
    <t>Theodore Melfi</t>
  </si>
  <si>
    <t>Taraji P. Henson</t>
  </si>
  <si>
    <t>Janelle Monáe</t>
  </si>
  <si>
    <t>The Magnificent Seven</t>
  </si>
  <si>
    <t>1960</t>
  </si>
  <si>
    <t>Action, Adventure, Western</t>
  </si>
  <si>
    <t>John Sturges</t>
  </si>
  <si>
    <t>Yul Brynner</t>
  </si>
  <si>
    <t>Charles Bronson</t>
  </si>
  <si>
    <t>Eli Wallach</t>
  </si>
  <si>
    <t>Twelve Monkeys</t>
  </si>
  <si>
    <t>Madeleine Stowe</t>
  </si>
  <si>
    <t>Joseph Melito</t>
  </si>
  <si>
    <t>Edward Scissorhands</t>
  </si>
  <si>
    <t>Anthony Michael Hall</t>
  </si>
  <si>
    <t>Billy Elliot</t>
  </si>
  <si>
    <t>Stephen Daldry</t>
  </si>
  <si>
    <t>Jamie Bell</t>
  </si>
  <si>
    <t>Julie Walters</t>
  </si>
  <si>
    <t>Jean Heywood</t>
  </si>
  <si>
    <t>Jamie Draven</t>
  </si>
  <si>
    <t>Me and Earl and the Dying Girl</t>
  </si>
  <si>
    <t>Alfonso Gomez-Rejon</t>
  </si>
  <si>
    <t>Thomas Mann</t>
  </si>
  <si>
    <t>RJ Cyler</t>
  </si>
  <si>
    <t>Olivia Cooke</t>
  </si>
  <si>
    <t>Nick Offerman</t>
  </si>
  <si>
    <t>Sin City</t>
  </si>
  <si>
    <t>Crime, Thriller</t>
  </si>
  <si>
    <t>Frank Miller</t>
  </si>
  <si>
    <t>Robert Rodriguez</t>
  </si>
  <si>
    <t>Mickey Rourke</t>
  </si>
  <si>
    <t>Serenity</t>
  </si>
  <si>
    <t>Nathan Fillion</t>
  </si>
  <si>
    <t>Gina Torres</t>
  </si>
  <si>
    <t>Chiwetel Ejiofor</t>
  </si>
  <si>
    <t>Rush</t>
  </si>
  <si>
    <t>Olivia Wilde</t>
  </si>
  <si>
    <t>Alexandra Maria Lara</t>
  </si>
  <si>
    <t>Black Hawk Down</t>
  </si>
  <si>
    <t>Tom Sizemore</t>
  </si>
  <si>
    <t>Eric Bana</t>
  </si>
  <si>
    <t>Ocean's Eleven</t>
  </si>
  <si>
    <t>Steven Soderbergh</t>
  </si>
  <si>
    <t>Interstellar</t>
  </si>
  <si>
    <t>Adventure, Drama, Sci-Fi</t>
  </si>
  <si>
    <t>Matthew McConaughey</t>
  </si>
  <si>
    <t>Anne Hathaway</t>
  </si>
  <si>
    <t>Jessica Chastain</t>
  </si>
  <si>
    <t>Mou gaan dou</t>
  </si>
  <si>
    <t>Andrew Lau</t>
  </si>
  <si>
    <t>Alan Mak</t>
  </si>
  <si>
    <t>Andy Lau</t>
  </si>
  <si>
    <t>Tony Chiu-Wai Leung</t>
  </si>
  <si>
    <t>Anthony Chau-Sang Wong</t>
  </si>
  <si>
    <t>Down by Law</t>
  </si>
  <si>
    <t>Tom Waits</t>
  </si>
  <si>
    <t>John Lurie</t>
  </si>
  <si>
    <t>Titanic</t>
  </si>
  <si>
    <t>194 min</t>
  </si>
  <si>
    <t>James Cameron</t>
  </si>
  <si>
    <t>Billy Zane</t>
  </si>
  <si>
    <t>Terminator 2: Judgment Day</t>
  </si>
  <si>
    <t>137 min</t>
  </si>
  <si>
    <t>Linda Hamilton</t>
  </si>
  <si>
    <t>Under sandet</t>
  </si>
  <si>
    <t>Martin Zandvliet</t>
  </si>
  <si>
    <t>Roland Møller</t>
  </si>
  <si>
    <t>Louis Hofmann</t>
  </si>
  <si>
    <t>Joel Basman</t>
  </si>
  <si>
    <t>Mikkel Boe Følsgaard</t>
  </si>
  <si>
    <t>How to Train Your Dragon</t>
  </si>
  <si>
    <t>98 min</t>
  </si>
  <si>
    <t>Dean DeBlois</t>
  </si>
  <si>
    <t>Chris Sanders</t>
  </si>
  <si>
    <t>Jay Baruchel</t>
  </si>
  <si>
    <t>Christopher Mintz-Plasse</t>
  </si>
  <si>
    <t>The Wolf of Wall Street</t>
  </si>
  <si>
    <t>Jonah Hill</t>
  </si>
  <si>
    <t>Margot Robbie</t>
  </si>
  <si>
    <t>Captain America: Civil War</t>
  </si>
  <si>
    <t>Capharnaüm</t>
  </si>
  <si>
    <t>Nadine Labaki</t>
  </si>
  <si>
    <t>Zain Al Rafeea</t>
  </si>
  <si>
    <t>Yordanos Shiferaw</t>
  </si>
  <si>
    <t>Boluwatife Treasure Bankole</t>
  </si>
  <si>
    <t>Kawsar Al Haddad</t>
  </si>
  <si>
    <t>Catch Me If You Can</t>
  </si>
  <si>
    <t>Martin Sheen</t>
  </si>
  <si>
    <t>Misery</t>
  </si>
  <si>
    <t>James Caan</t>
  </si>
  <si>
    <t>Richard Farnsworth</t>
  </si>
  <si>
    <t>Frances Sternhagen</t>
  </si>
  <si>
    <t>Stand by Me</t>
  </si>
  <si>
    <t>Adventure, Drama</t>
  </si>
  <si>
    <t>Wil Wheaton</t>
  </si>
  <si>
    <t>River Phoenix</t>
  </si>
  <si>
    <t>Jerry O'Connell</t>
  </si>
  <si>
    <t>Diarios de motocicleta</t>
  </si>
  <si>
    <t>Walter Salles</t>
  </si>
  <si>
    <t>Gael García Bernal</t>
  </si>
  <si>
    <t>Rodrigo De la Serna</t>
  </si>
  <si>
    <t>Mía Maestro</t>
  </si>
  <si>
    <t>Mercedes Morán</t>
  </si>
  <si>
    <t>Dial M for Murder</t>
  </si>
  <si>
    <t>1954</t>
  </si>
  <si>
    <t>Alfred Hitchcock</t>
  </si>
  <si>
    <t>Ray Milland</t>
  </si>
  <si>
    <t>Grace Kelly</t>
  </si>
  <si>
    <t>Robert Cummings</t>
  </si>
  <si>
    <t>John Williams</t>
  </si>
  <si>
    <t>The Purple Rose of Cairo</t>
  </si>
  <si>
    <t>82 min</t>
  </si>
  <si>
    <t>Woody Allen</t>
  </si>
  <si>
    <t>Mia Farrow</t>
  </si>
  <si>
    <t>Jeff Daniels</t>
  </si>
  <si>
    <t>Irving Metzman</t>
  </si>
  <si>
    <t>X-Men: Days of Future Past</t>
  </si>
  <si>
    <t>Patrick Stewart</t>
  </si>
  <si>
    <t>What Ever Happened to Baby Jane?</t>
  </si>
  <si>
    <t>1962</t>
  </si>
  <si>
    <t>Robert Aldrich</t>
  </si>
  <si>
    <t>Bette Davis</t>
  </si>
  <si>
    <t>Joan Crawford</t>
  </si>
  <si>
    <t>Victor Buono</t>
  </si>
  <si>
    <t>Wesley Addy</t>
  </si>
  <si>
    <t>The Longest Day</t>
  </si>
  <si>
    <t>Ken Annakin</t>
  </si>
  <si>
    <t>Andrew Marton</t>
  </si>
  <si>
    <t>Gerd Oswald</t>
  </si>
  <si>
    <t>Bernhard Wicki</t>
  </si>
  <si>
    <t>Darryl F. Zanuck</t>
  </si>
  <si>
    <t>The Revenant</t>
  </si>
  <si>
    <t>Will Poulter</t>
  </si>
  <si>
    <t>The Killing Fields</t>
  </si>
  <si>
    <t>Roland Joffé</t>
  </si>
  <si>
    <t>Sam Waterston</t>
  </si>
  <si>
    <t>Haing S. Ngor</t>
  </si>
  <si>
    <t>Julian Sands</t>
  </si>
  <si>
    <t>What We Do in the Shadows</t>
  </si>
  <si>
    <t>86 min</t>
  </si>
  <si>
    <t>Comedy, Horror</t>
  </si>
  <si>
    <t>Jemaine Clement</t>
  </si>
  <si>
    <t>Cori Gonzalez-Macuer</t>
  </si>
  <si>
    <t>When Harry Met Sally...</t>
  </si>
  <si>
    <t>Billy Crystal</t>
  </si>
  <si>
    <t>Meg Ryan</t>
  </si>
  <si>
    <t>Bruno Kirby</t>
  </si>
  <si>
    <t>American Gangster</t>
  </si>
  <si>
    <t>157 min</t>
  </si>
  <si>
    <t>Guardians of the Galaxy</t>
  </si>
  <si>
    <t>Män som hatar kvinnor</t>
  </si>
  <si>
    <t>Niels Arden Oplev</t>
  </si>
  <si>
    <t>Michael Nyqvist</t>
  </si>
  <si>
    <t>Noomi Rapace</t>
  </si>
  <si>
    <t>Ewa Fröling</t>
  </si>
  <si>
    <t>Lena Endre</t>
  </si>
  <si>
    <t>Shaun of the Dead</t>
  </si>
  <si>
    <t>Edgar Wright</t>
  </si>
  <si>
    <t>Simon Pegg</t>
  </si>
  <si>
    <t>Nick Frost</t>
  </si>
  <si>
    <t>Kate Ashfield</t>
  </si>
  <si>
    <t>Lucy Davis</t>
  </si>
  <si>
    <t>(500) Days of Summer</t>
  </si>
  <si>
    <t>Zooey Deschanel</t>
  </si>
  <si>
    <t>Geoffrey Arend</t>
  </si>
  <si>
    <t>The Lunchbox</t>
  </si>
  <si>
    <t>Ritesh Batra</t>
  </si>
  <si>
    <t>Irrfan Khan</t>
  </si>
  <si>
    <t>Nimrat Kaur</t>
  </si>
  <si>
    <t>Nawazuddin Siddiqui</t>
  </si>
  <si>
    <t>Lillete Dubey</t>
  </si>
  <si>
    <t>Blue Velvet</t>
  </si>
  <si>
    <t>David Lynch</t>
  </si>
  <si>
    <t>Isabella Rossellini</t>
  </si>
  <si>
    <t>Kyle MacLachlan</t>
  </si>
  <si>
    <t>How to Train Your Dragon 2</t>
  </si>
  <si>
    <t>Craig Ferguson</t>
  </si>
  <si>
    <t>La montaña sagrada</t>
  </si>
  <si>
    <t>Alejandro Jodorowsky</t>
  </si>
  <si>
    <t>Horacio Salinas</t>
  </si>
  <si>
    <t>Zamira Saunders</t>
  </si>
  <si>
    <t>Juan Ferrara</t>
  </si>
  <si>
    <t>Nightcrawler</t>
  </si>
  <si>
    <t>Dan Gilroy</t>
  </si>
  <si>
    <t>Rene Russo</t>
  </si>
  <si>
    <t>Riz Ahmed</t>
  </si>
  <si>
    <t>Breaking the Waves</t>
  </si>
  <si>
    <t>159 min</t>
  </si>
  <si>
    <t>Emily Watson</t>
  </si>
  <si>
    <t>Katrin Cartlidge</t>
  </si>
  <si>
    <t>Jean-Marc Barr</t>
  </si>
  <si>
    <t>Mononoke-hime</t>
  </si>
  <si>
    <t>Hayao Miyazaki</t>
  </si>
  <si>
    <t>Yôji Matsuda</t>
  </si>
  <si>
    <t>Yuriko Ishida</t>
  </si>
  <si>
    <t>Yûko Tanaka</t>
  </si>
  <si>
    <t>Heat</t>
  </si>
  <si>
    <t>Michael Mann</t>
  </si>
  <si>
    <t>Jon Voight</t>
  </si>
  <si>
    <t>Full Metal Jacket</t>
  </si>
  <si>
    <t>Drama, War</t>
  </si>
  <si>
    <t>Matthew Modine</t>
  </si>
  <si>
    <t>R. Lee Ermey</t>
  </si>
  <si>
    <t>Vincent D'Onofrio</t>
  </si>
  <si>
    <t>Adam Baldwin</t>
  </si>
  <si>
    <t>3:10 to Yuma</t>
  </si>
  <si>
    <t>Ben Foster</t>
  </si>
  <si>
    <t>The Naked Gun: From the Files of Police Squad!</t>
  </si>
  <si>
    <t>David Zucker</t>
  </si>
  <si>
    <t>Leslie Nielsen</t>
  </si>
  <si>
    <t>Priscilla Presley</t>
  </si>
  <si>
    <t>O.J. Simpson</t>
  </si>
  <si>
    <t>Ricardo Montalban</t>
  </si>
  <si>
    <t>In America</t>
  </si>
  <si>
    <t>Jim Sheridan</t>
  </si>
  <si>
    <t>Paddy Considine</t>
  </si>
  <si>
    <t>Sarah Bolger</t>
  </si>
  <si>
    <t>Inside Man</t>
  </si>
  <si>
    <t>Jodie Foster</t>
  </si>
  <si>
    <t>The Royal Tenenbaums</t>
  </si>
  <si>
    <t>Wes Anderson</t>
  </si>
  <si>
    <t>Gene Hackman</t>
  </si>
  <si>
    <t>Gwyneth Paltrow</t>
  </si>
  <si>
    <t>Anjelica Huston</t>
  </si>
  <si>
    <t>Ben Stiller</t>
  </si>
  <si>
    <t>Kôkaku Kidôtai</t>
  </si>
  <si>
    <t>83 min</t>
  </si>
  <si>
    <t>Mamoru Oshii</t>
  </si>
  <si>
    <t>Atsuko Tanaka</t>
  </si>
  <si>
    <t>Iemasa Kayumi</t>
  </si>
  <si>
    <t>Akio Ôtsuka</t>
  </si>
  <si>
    <t>Kôichi Yamadera</t>
  </si>
  <si>
    <t>Donnie Brasco</t>
  </si>
  <si>
    <t>Mike Newell</t>
  </si>
  <si>
    <t>The Last of the Mohicans</t>
  </si>
  <si>
    <t>Daniel Day-Lewis</t>
  </si>
  <si>
    <t>Russell Means</t>
  </si>
  <si>
    <t>Eric Schweig</t>
  </si>
  <si>
    <t>Boyz n the Hood</t>
  </si>
  <si>
    <t>John Singleton</t>
  </si>
  <si>
    <t>Hudhail Al-Amir</t>
  </si>
  <si>
    <t>Lloyd Avery II</t>
  </si>
  <si>
    <t>The Last Emperor</t>
  </si>
  <si>
    <t>163 min</t>
  </si>
  <si>
    <t>Bernardo Bertolucci</t>
  </si>
  <si>
    <t>John Lone</t>
  </si>
  <si>
    <t>Joan Chen</t>
  </si>
  <si>
    <t>Peter O'Toole</t>
  </si>
  <si>
    <t>Ruocheng Ying</t>
  </si>
  <si>
    <t>Un long dimanche de fiançailles</t>
  </si>
  <si>
    <t>Drama, Mystery, Romance</t>
  </si>
  <si>
    <t>Gaspard Ulliel</t>
  </si>
  <si>
    <t>The Princess Bride</t>
  </si>
  <si>
    <t>Mandy Patinkin</t>
  </si>
  <si>
    <t>Robin Wright</t>
  </si>
  <si>
    <t>Chris Sarandon</t>
  </si>
  <si>
    <t>Chung Hing sam lam</t>
  </si>
  <si>
    <t>Kar-Wai Wong</t>
  </si>
  <si>
    <t>Brigitte Lin</t>
  </si>
  <si>
    <t>Takeshi Kaneshiro</t>
  </si>
  <si>
    <t>Faye Wong</t>
  </si>
  <si>
    <t>Philomena</t>
  </si>
  <si>
    <t>Stephen Frears</t>
  </si>
  <si>
    <t>Judi Dench</t>
  </si>
  <si>
    <t>Steve Coogan</t>
  </si>
  <si>
    <t>Sophie Kennedy Clark</t>
  </si>
  <si>
    <t>Mare Winningham</t>
  </si>
  <si>
    <t>Jagten</t>
  </si>
  <si>
    <t>Thomas Vinterberg</t>
  </si>
  <si>
    <t>Thomas Bo Larsen</t>
  </si>
  <si>
    <t>Annika Wedderkopp</t>
  </si>
  <si>
    <t>Lasse Fogelstrøm</t>
  </si>
  <si>
    <t>Oldeuboi</t>
  </si>
  <si>
    <t>Choi Min-sik</t>
  </si>
  <si>
    <t>Yoo Ji-Tae</t>
  </si>
  <si>
    <t>Kang Hye-jeong</t>
  </si>
  <si>
    <t>Kim Byeong-Ok</t>
  </si>
  <si>
    <t>A Clockwork Orange</t>
  </si>
  <si>
    <t>Crime, Drama, Sci-Fi</t>
  </si>
  <si>
    <t>Malcolm McDowell</t>
  </si>
  <si>
    <t>Patrick Magee</t>
  </si>
  <si>
    <t>Michael Bates</t>
  </si>
  <si>
    <t>Warren Clarke</t>
  </si>
  <si>
    <t>Life of Brian</t>
  </si>
  <si>
    <t>Terry Jones</t>
  </si>
  <si>
    <t>Graham Chapman</t>
  </si>
  <si>
    <t>John Cleese</t>
  </si>
  <si>
    <t>Michael Palin</t>
  </si>
  <si>
    <t>Mad Max 2</t>
  </si>
  <si>
    <t>96 min</t>
  </si>
  <si>
    <t>George Miller</t>
  </si>
  <si>
    <t>Bruce Spence</t>
  </si>
  <si>
    <t>Michael Preston</t>
  </si>
  <si>
    <t>Max Phipps</t>
  </si>
  <si>
    <t>Relatos salvajes</t>
  </si>
  <si>
    <t>Damián Szifron</t>
  </si>
  <si>
    <t>Darío Grandinetti</t>
  </si>
  <si>
    <t>María Marull</t>
  </si>
  <si>
    <t>Mónica Villa</t>
  </si>
  <si>
    <t>Diego Starosta</t>
  </si>
  <si>
    <t>Apollo 13</t>
  </si>
  <si>
    <t>Adventure, Drama, History</t>
  </si>
  <si>
    <t>Gary Sinise</t>
  </si>
  <si>
    <t>A Christmas Story</t>
  </si>
  <si>
    <t>Bob Clark</t>
  </si>
  <si>
    <t>Peter Billingsley</t>
  </si>
  <si>
    <t>Melinda Dillon</t>
  </si>
  <si>
    <t>Darren McGavin</t>
  </si>
  <si>
    <t>Scott Schwartz</t>
  </si>
  <si>
    <t>Paper Moon</t>
  </si>
  <si>
    <t>Peter Bogdanovich</t>
  </si>
  <si>
    <t>Ryan O'Neal</t>
  </si>
  <si>
    <t>Tatum O'Neal</t>
  </si>
  <si>
    <t>Madeline Kahn</t>
  </si>
  <si>
    <t>John Hillerman</t>
  </si>
  <si>
    <t>Giù la testa</t>
  </si>
  <si>
    <t>Drama, War, Western</t>
  </si>
  <si>
    <t>Sergio Leone</t>
  </si>
  <si>
    <t>James Coburn</t>
  </si>
  <si>
    <t>Romolo Valli</t>
  </si>
  <si>
    <t>Maria Monti</t>
  </si>
  <si>
    <t>The Usual Suspects</t>
  </si>
  <si>
    <t>Crime, Mystery, Thriller</t>
  </si>
  <si>
    <t>Chazz Palminteri</t>
  </si>
  <si>
    <t>Stephen Baldwin</t>
  </si>
  <si>
    <t>Once Were Warriors</t>
  </si>
  <si>
    <t>Lee Tamahori</t>
  </si>
  <si>
    <t>Rena Owen</t>
  </si>
  <si>
    <t>Temuera Morrison</t>
  </si>
  <si>
    <t>Mamaengaroa Kerr-Bell</t>
  </si>
  <si>
    <t>Julian Arahanga</t>
  </si>
  <si>
    <t>Crimes and Misdemeanors</t>
  </si>
  <si>
    <t>Bill Bernstein</t>
  </si>
  <si>
    <t>Claire Bloom</t>
  </si>
  <si>
    <t>Logan</t>
  </si>
  <si>
    <t>Dafne Keen</t>
  </si>
  <si>
    <t>Boyd Holbrook</t>
  </si>
  <si>
    <t>Before Sunrise</t>
  </si>
  <si>
    <t>Richard Linklater</t>
  </si>
  <si>
    <t>Julie Delpy</t>
  </si>
  <si>
    <t>Andrea Eckert</t>
  </si>
  <si>
    <t>Hanno Pöschl</t>
  </si>
  <si>
    <t>Magnolia</t>
  </si>
  <si>
    <t>188 min</t>
  </si>
  <si>
    <t>Paul Thomas Anderson</t>
  </si>
  <si>
    <t>Jason Robards</t>
  </si>
  <si>
    <t>Julianne Moore</t>
  </si>
  <si>
    <t>Bacheha-Ye aseman</t>
  </si>
  <si>
    <t>Majid Majidi</t>
  </si>
  <si>
    <t>Mohammad Amir Naji</t>
  </si>
  <si>
    <t>Amir Farrokh Hashemian</t>
  </si>
  <si>
    <t>Bahare Seddiqi</t>
  </si>
  <si>
    <t>Nafise Jafar-Mohammadi</t>
  </si>
  <si>
    <t>Paris, Texas</t>
  </si>
  <si>
    <t>Wim Wenders</t>
  </si>
  <si>
    <t>Harry Dean Stanton</t>
  </si>
  <si>
    <t>Nastassja Kinski</t>
  </si>
  <si>
    <t>Dean Stockwell</t>
  </si>
  <si>
    <t>Aurore Clément</t>
  </si>
  <si>
    <t>Efter brylluppet</t>
  </si>
  <si>
    <t>Sidse Babett Knudsen</t>
  </si>
  <si>
    <t>Neeral Mulchandani</t>
  </si>
  <si>
    <t>Kung fu</t>
  </si>
  <si>
    <t>Stephen Chow</t>
  </si>
  <si>
    <t>Wah Yuen</t>
  </si>
  <si>
    <t>Qiu Yuen</t>
  </si>
  <si>
    <t>Siu-Lung Leung</t>
  </si>
  <si>
    <t>Avengers: Endgame</t>
  </si>
  <si>
    <t>The Dark Knight Rises</t>
  </si>
  <si>
    <t>164 min</t>
  </si>
  <si>
    <t>Dazed and Confused</t>
  </si>
  <si>
    <t>Jason London</t>
  </si>
  <si>
    <t>Wiley Wiggins</t>
  </si>
  <si>
    <t>Rory Cochrane</t>
  </si>
  <si>
    <t>I, Daniel Blake</t>
  </si>
  <si>
    <t>Ken Loach</t>
  </si>
  <si>
    <t>Laura Obiols</t>
  </si>
  <si>
    <t>Dave Johns</t>
  </si>
  <si>
    <t>Hayley Squires</t>
  </si>
  <si>
    <t>Sharon Percy</t>
  </si>
  <si>
    <t>Ex Machina</t>
  </si>
  <si>
    <t>Alex Garland</t>
  </si>
  <si>
    <t>Alicia Vikander</t>
  </si>
  <si>
    <t>Oscar Isaac</t>
  </si>
  <si>
    <t>Sonoya Mizuno</t>
  </si>
  <si>
    <t>Zodiac</t>
  </si>
  <si>
    <t>Control</t>
  </si>
  <si>
    <t>Anton Corbijn</t>
  </si>
  <si>
    <t>Sam Riley</t>
  </si>
  <si>
    <t>Craig Parkinson</t>
  </si>
  <si>
    <t>Harry Potter and the Half-Blood Prince</t>
  </si>
  <si>
    <t>Action, Adventure, Family</t>
  </si>
  <si>
    <t>Michael Gambon</t>
  </si>
  <si>
    <t>Glory</t>
  </si>
  <si>
    <t>1917</t>
  </si>
  <si>
    <t>Dean-Charles Chapman</t>
  </si>
  <si>
    <t>Daniel Mays</t>
  </si>
  <si>
    <t>Zootopia</t>
  </si>
  <si>
    <t>Jared Bush</t>
  </si>
  <si>
    <t>Jason Bateman</t>
  </si>
  <si>
    <t>The Thin Red Line</t>
  </si>
  <si>
    <t>Terrence Malick</t>
  </si>
  <si>
    <t>Kirk Acevedo</t>
  </si>
  <si>
    <t>The Color Purple</t>
  </si>
  <si>
    <t>Whoopi Goldberg</t>
  </si>
  <si>
    <t>Oprah Winfrey</t>
  </si>
  <si>
    <t>Margaret Avery</t>
  </si>
  <si>
    <t>Airplane!</t>
  </si>
  <si>
    <t>Jim Abrahams</t>
  </si>
  <si>
    <t>Jerry Zucker</t>
  </si>
  <si>
    <t>Robert Hays</t>
  </si>
  <si>
    <t>Julie Hagerty</t>
  </si>
  <si>
    <t>Drive</t>
  </si>
  <si>
    <t>Nicolas Winding Refn</t>
  </si>
  <si>
    <t>Carey Mulligan</t>
  </si>
  <si>
    <t>Bryan Cranston</t>
  </si>
  <si>
    <t>Albert Brooks</t>
  </si>
  <si>
    <t>Sing Street</t>
  </si>
  <si>
    <t>Comedy, Drama, Music</t>
  </si>
  <si>
    <t>John Carney</t>
  </si>
  <si>
    <t>Ferdia Walsh-Peelo</t>
  </si>
  <si>
    <t>Aidan Gillen</t>
  </si>
  <si>
    <t>Maria Doyle Kennedy</t>
  </si>
  <si>
    <t>Jack Reynor</t>
  </si>
  <si>
    <t>Iron Man</t>
  </si>
  <si>
    <t>Jon Favreau</t>
  </si>
  <si>
    <t>Terrence Howard</t>
  </si>
  <si>
    <t>Planet of the Apes</t>
  </si>
  <si>
    <t>1968</t>
  </si>
  <si>
    <t>Adventure, Sci-Fi</t>
  </si>
  <si>
    <t>Charlton Heston</t>
  </si>
  <si>
    <t>Roddy McDowall</t>
  </si>
  <si>
    <t>Kim Hunter</t>
  </si>
  <si>
    <t>Maurice Evans</t>
  </si>
  <si>
    <t>Dawn of the Planet of the Apes</t>
  </si>
  <si>
    <t>Matt Reeves</t>
  </si>
  <si>
    <t>Keri Russell</t>
  </si>
  <si>
    <t>Kodi Smit-McPhee</t>
  </si>
  <si>
    <t>The Visitor</t>
  </si>
  <si>
    <t>Tom McCarthy</t>
  </si>
  <si>
    <t>Richard Jenkins</t>
  </si>
  <si>
    <t>Haaz Sleiman</t>
  </si>
  <si>
    <t>Danai Gurira</t>
  </si>
  <si>
    <t>Hiam Abbass</t>
  </si>
  <si>
    <t>Gone Girl</t>
  </si>
  <si>
    <t>Rosamund Pike</t>
  </si>
  <si>
    <t>Neil Patrick Harris</t>
  </si>
  <si>
    <t>Tyler Perry</t>
  </si>
  <si>
    <t>The Fighter</t>
  </si>
  <si>
    <t>David O. Russell</t>
  </si>
  <si>
    <t>Mark Wahlberg</t>
  </si>
  <si>
    <t>Amy Adams</t>
  </si>
  <si>
    <t>Madeo</t>
  </si>
  <si>
    <t>Bong Joon Ho</t>
  </si>
  <si>
    <t>Hye-ja Kim</t>
  </si>
  <si>
    <t>Jin Goo</t>
  </si>
  <si>
    <t>Je-mun Yun</t>
  </si>
  <si>
    <t>Monsters, Inc.</t>
  </si>
  <si>
    <t>Pete Docter</t>
  </si>
  <si>
    <t>David Silverman</t>
  </si>
  <si>
    <t>Lee Unkrich</t>
  </si>
  <si>
    <t>Gandhi</t>
  </si>
  <si>
    <t>191 min</t>
  </si>
  <si>
    <t>John Gielgud</t>
  </si>
  <si>
    <t>Rohini Hattangadi</t>
  </si>
  <si>
    <t>Roshan Seth</t>
  </si>
  <si>
    <t>Der Himmel über Berlin</t>
  </si>
  <si>
    <t>Bruno Ganz</t>
  </si>
  <si>
    <t>Solveig Dommartin</t>
  </si>
  <si>
    <t>Otto Sander</t>
  </si>
  <si>
    <t>Curt Bois</t>
  </si>
  <si>
    <t>Life of Pi</t>
  </si>
  <si>
    <t>Ang Lee</t>
  </si>
  <si>
    <t>Suraj Sharma</t>
  </si>
  <si>
    <t>Adil Hussain</t>
  </si>
  <si>
    <t>Tabu</t>
  </si>
  <si>
    <t>Midnight Cowboy</t>
  </si>
  <si>
    <t>John Schlesinger</t>
  </si>
  <si>
    <t>Sylvia Miles</t>
  </si>
  <si>
    <t>John McGiver</t>
  </si>
  <si>
    <t>Black Swan</t>
  </si>
  <si>
    <t>Mila Kunis</t>
  </si>
  <si>
    <t>Vincent Cassel</t>
  </si>
  <si>
    <t>Kimi no na wa.</t>
  </si>
  <si>
    <t>Animation, Drama, Fantasy</t>
  </si>
  <si>
    <t>Makoto Shinkai</t>
  </si>
  <si>
    <t>Ryûnosuke Kamiki</t>
  </si>
  <si>
    <t>Mone Kamishiraishi</t>
  </si>
  <si>
    <t>Ryô Narita</t>
  </si>
  <si>
    <t>Aoi Yûki</t>
  </si>
  <si>
    <t>Dead Poets Society</t>
  </si>
  <si>
    <t>Peter Weir</t>
  </si>
  <si>
    <t>Robert Sean Leonard</t>
  </si>
  <si>
    <t>Josh Charles</t>
  </si>
  <si>
    <t>Cidade de Deus</t>
  </si>
  <si>
    <t>Fernando Meirelles</t>
  </si>
  <si>
    <t>Kátia Lund</t>
  </si>
  <si>
    <t>Alexandre Rodrigues</t>
  </si>
  <si>
    <t>Leandro Firmino</t>
  </si>
  <si>
    <t>Matheus Nachtergaele</t>
  </si>
  <si>
    <t>The Untouchables</t>
  </si>
  <si>
    <t>Charles Martin Smith</t>
  </si>
  <si>
    <t>Hotel Rwanda</t>
  </si>
  <si>
    <t>Terry George</t>
  </si>
  <si>
    <t>Sophie Okonedo</t>
  </si>
  <si>
    <t>Xolani Mali</t>
  </si>
  <si>
    <t>Reservoir Dogs</t>
  </si>
  <si>
    <t>Harvey Keitel</t>
  </si>
  <si>
    <t>Chris Penn</t>
  </si>
  <si>
    <t>Short Cuts</t>
  </si>
  <si>
    <t>Robert Altman</t>
  </si>
  <si>
    <t>Tim Robbins</t>
  </si>
  <si>
    <t>Bruce Davison</t>
  </si>
  <si>
    <t>Nuovo Cinema Paradiso</t>
  </si>
  <si>
    <t>Philippe Noiret</t>
  </si>
  <si>
    <t>Enzo Cannavale</t>
  </si>
  <si>
    <t>Antonella Attili</t>
  </si>
  <si>
    <t>Isa Danieli</t>
  </si>
  <si>
    <t>The Shawshank Redemption</t>
  </si>
  <si>
    <t>142 min</t>
  </si>
  <si>
    <t>Bob Gunton</t>
  </si>
  <si>
    <t>William Sadler</t>
  </si>
  <si>
    <t>Casino Royale</t>
  </si>
  <si>
    <t>Martin Campbell</t>
  </si>
  <si>
    <t>Eva Green</t>
  </si>
  <si>
    <t>Jeffrey Wright</t>
  </si>
  <si>
    <t>Central do Brasil</t>
  </si>
  <si>
    <t>Fernanda Montenegro</t>
  </si>
  <si>
    <t>Vinícius de Oliveira</t>
  </si>
  <si>
    <t>Marília Pêra</t>
  </si>
  <si>
    <t>Soia Lira</t>
  </si>
  <si>
    <t>The Martian</t>
  </si>
  <si>
    <t>Kristen Wiig</t>
  </si>
  <si>
    <t>Kate Mara</t>
  </si>
  <si>
    <t>The Wrestler</t>
  </si>
  <si>
    <t>Evan Rachel Wood</t>
  </si>
  <si>
    <t>Mark Margolis</t>
  </si>
  <si>
    <t>A Bronx Tale</t>
  </si>
  <si>
    <t>Lillo Brancato</t>
  </si>
  <si>
    <t>Francis Capra</t>
  </si>
  <si>
    <t>Young Frankenstein</t>
  </si>
  <si>
    <t>Marty Feldman</t>
  </si>
  <si>
    <t>Peter Boyle</t>
  </si>
  <si>
    <t>Incredibles 2</t>
  </si>
  <si>
    <t>Brad Bird</t>
  </si>
  <si>
    <t>Craig T. Nelson</t>
  </si>
  <si>
    <t>Holly Hunter</t>
  </si>
  <si>
    <t>Sarah Vowell</t>
  </si>
  <si>
    <t>Huck Milner</t>
  </si>
  <si>
    <t>Little Miss Sunshine</t>
  </si>
  <si>
    <t>Jonathan Dayton</t>
  </si>
  <si>
    <t>Valerie Faris</t>
  </si>
  <si>
    <t>Dallas Buyers Club</t>
  </si>
  <si>
    <t>Jean-Marc Vallée</t>
  </si>
  <si>
    <t>Jennifer Garner</t>
  </si>
  <si>
    <t>Steve Zahn</t>
  </si>
  <si>
    <t>Nueve reinas</t>
  </si>
  <si>
    <t>Fabián Bielinsky</t>
  </si>
  <si>
    <t>Ricardo Darín</t>
  </si>
  <si>
    <t>Gastón Pauls</t>
  </si>
  <si>
    <t>Graciela Tenenbaum</t>
  </si>
  <si>
    <t>María Mercedes Villagra</t>
  </si>
  <si>
    <t>Incendies</t>
  </si>
  <si>
    <t>Drama, Mystery, War</t>
  </si>
  <si>
    <t>Lubna Azabal</t>
  </si>
  <si>
    <t>Mélissa Désormeaux-Poulin</t>
  </si>
  <si>
    <t>Maxim Gaudette</t>
  </si>
  <si>
    <t>Mustafa Kamel</t>
  </si>
  <si>
    <t>Coraline</t>
  </si>
  <si>
    <t>Henry Selick</t>
  </si>
  <si>
    <t>Teri Hatcher</t>
  </si>
  <si>
    <t>John Hodgman</t>
  </si>
  <si>
    <t>Jennifer Saunders</t>
  </si>
  <si>
    <t>The Day of the Jackal</t>
  </si>
  <si>
    <t>Edward Fox</t>
  </si>
  <si>
    <t>Terence Alexander</t>
  </si>
  <si>
    <t>Michel Auclair</t>
  </si>
  <si>
    <t>Alan Badel</t>
  </si>
  <si>
    <t>Hauru no ugoku shiro</t>
  </si>
  <si>
    <t>Chieko Baishô</t>
  </si>
  <si>
    <t>Takuya Kimura</t>
  </si>
  <si>
    <t>Tatsuya Gashûin</t>
  </si>
  <si>
    <t>Akihiro Miwa</t>
  </si>
  <si>
    <t>True Grit</t>
  </si>
  <si>
    <t>Drama, Western</t>
  </si>
  <si>
    <t>Hailee Steinfeld</t>
  </si>
  <si>
    <t>Star Wars: Episode VII - The Force Awakens</t>
  </si>
  <si>
    <t>Daisy Ridley</t>
  </si>
  <si>
    <t>John Boyega</t>
  </si>
  <si>
    <t>Frost/Nixon</t>
  </si>
  <si>
    <t>Frank Langella</t>
  </si>
  <si>
    <t>Michael Sheen</t>
  </si>
  <si>
    <t>El secreto de sus ojos</t>
  </si>
  <si>
    <t>Juan José Campanella</t>
  </si>
  <si>
    <t>Soledad Villamil</t>
  </si>
  <si>
    <t>Pablo Rago</t>
  </si>
  <si>
    <t>Carla Quevedo</t>
  </si>
  <si>
    <t>Kari-gurashi no Arietti</t>
  </si>
  <si>
    <t>Amy Poehler</t>
  </si>
  <si>
    <t>Mirai Shida</t>
  </si>
  <si>
    <t>Tatsuya Fujiwara</t>
  </si>
  <si>
    <t>Deliverance</t>
  </si>
  <si>
    <t>1972</t>
  </si>
  <si>
    <t>John Boorman</t>
  </si>
  <si>
    <t>Burt Reynolds</t>
  </si>
  <si>
    <t>Ned Beatty</t>
  </si>
  <si>
    <t>Ronny Cox</t>
  </si>
  <si>
    <t>Memento</t>
  </si>
  <si>
    <t>Joe Pantoliano</t>
  </si>
  <si>
    <t>Mark Boone Junior</t>
  </si>
  <si>
    <t>Minority Report</t>
  </si>
  <si>
    <t>Action, Crime, Mystery</t>
  </si>
  <si>
    <t>Max von Sydow</t>
  </si>
  <si>
    <t>Ford v Ferrari</t>
  </si>
  <si>
    <t>Jon Bernthal</t>
  </si>
  <si>
    <t>Caitriona Balfe</t>
  </si>
  <si>
    <t>Hunt for the Wilderpeople</t>
  </si>
  <si>
    <t>Rima Te Wiata</t>
  </si>
  <si>
    <t>Rachel House</t>
  </si>
  <si>
    <t>Moana</t>
  </si>
  <si>
    <t>Ron Clements</t>
  </si>
  <si>
    <t>John Musker</t>
  </si>
  <si>
    <t>Auli'i Cravalho</t>
  </si>
  <si>
    <t>Bridge of Spies</t>
  </si>
  <si>
    <t>Mark Rylance</t>
  </si>
  <si>
    <t>Alan Alda</t>
  </si>
  <si>
    <t>Django Unchained</t>
  </si>
  <si>
    <t>Christoph Waltz</t>
  </si>
  <si>
    <t>Arrival</t>
  </si>
  <si>
    <t>Drama, Sci-Fi</t>
  </si>
  <si>
    <t>Michael Stuhlbarg</t>
  </si>
  <si>
    <t>Harry Potter and the Goblet of Fire</t>
  </si>
  <si>
    <t>Eric Sykes</t>
  </si>
  <si>
    <t>Silver Linings Playbook</t>
  </si>
  <si>
    <t>Jacki Weaver</t>
  </si>
  <si>
    <t>Midnight in Paris</t>
  </si>
  <si>
    <t>Kurt Fuller</t>
  </si>
  <si>
    <t>The Station Agent</t>
  </si>
  <si>
    <t>Peter Dinklage</t>
  </si>
  <si>
    <t>Patricia Clarkson</t>
  </si>
  <si>
    <t>Bobby Cannavale</t>
  </si>
  <si>
    <t>Paul Benjamin</t>
  </si>
  <si>
    <t>Skyfall</t>
  </si>
  <si>
    <t>Hot Fuzz</t>
  </si>
  <si>
    <t>Action, Comedy, Mystery</t>
  </si>
  <si>
    <t>The Big Short</t>
  </si>
  <si>
    <t>Adam McKay</t>
  </si>
  <si>
    <t>Papurika</t>
  </si>
  <si>
    <t>Satoshi Kon</t>
  </si>
  <si>
    <t>Megumi Hayashibara</t>
  </si>
  <si>
    <t>Tôru Emori</t>
  </si>
  <si>
    <t>Katsunosuke Hori</t>
  </si>
  <si>
    <t>Tôru Furuya</t>
  </si>
  <si>
    <t>Blade Runner 2049</t>
  </si>
  <si>
    <t>Ana de Armas</t>
  </si>
  <si>
    <t>The Exorcist</t>
  </si>
  <si>
    <t>William Friedkin</t>
  </si>
  <si>
    <t>Linda Blair</t>
  </si>
  <si>
    <t>Lee J. Cobb</t>
  </si>
  <si>
    <t>Coco</t>
  </si>
  <si>
    <t>Adrian Molina</t>
  </si>
  <si>
    <t>Anthony Gonzalez</t>
  </si>
  <si>
    <t>District 9</t>
  </si>
  <si>
    <t>Action, Sci-Fi, Thriller</t>
  </si>
  <si>
    <t>Neill Blomkamp</t>
  </si>
  <si>
    <t>Sharlto Copley</t>
  </si>
  <si>
    <t>David James</t>
  </si>
  <si>
    <t>Jason Cope</t>
  </si>
  <si>
    <t>Nathalie Boltt</t>
  </si>
  <si>
    <t>Il postino</t>
  </si>
  <si>
    <t>Michael Radford</t>
  </si>
  <si>
    <t>Massimo Troisi</t>
  </si>
  <si>
    <t>Maria Grazia Cucinotta</t>
  </si>
  <si>
    <t>Knives Out</t>
  </si>
  <si>
    <t>Rian Johnson</t>
  </si>
  <si>
    <t>Jamie Lee Curtis</t>
  </si>
  <si>
    <t>Sicario</t>
  </si>
  <si>
    <t>Star Trek</t>
  </si>
  <si>
    <t>Leonard Nimoy</t>
  </si>
  <si>
    <t>Pride &amp; Prejudice</t>
  </si>
  <si>
    <t>Joe Wright</t>
  </si>
  <si>
    <t>Matthew Macfadyen</t>
  </si>
  <si>
    <t>Brenda Blethyn</t>
  </si>
  <si>
    <t>Eastern Promises</t>
  </si>
  <si>
    <t>David Cronenberg</t>
  </si>
  <si>
    <t>Armin Mueller-Stahl</t>
  </si>
  <si>
    <t>Josef Altin</t>
  </si>
  <si>
    <t>Short Term 12</t>
  </si>
  <si>
    <t>Destin Daniel Cretton</t>
  </si>
  <si>
    <t>Brie Larson</t>
  </si>
  <si>
    <t>Frantz Turner</t>
  </si>
  <si>
    <t>John Gallagher Jr.</t>
  </si>
  <si>
    <t>Kaitlyn Dever</t>
  </si>
  <si>
    <t>Das weiße Band - Eine deutsche Kindergeschichte</t>
  </si>
  <si>
    <t>Drama, History, Mystery</t>
  </si>
  <si>
    <t>Michael Haneke</t>
  </si>
  <si>
    <t>Christian Friedel</t>
  </si>
  <si>
    <t>Ernst Jacobi</t>
  </si>
  <si>
    <t>Leonie Benesch</t>
  </si>
  <si>
    <t>Ulrich Tukur</t>
  </si>
  <si>
    <t>Der Untergang</t>
  </si>
  <si>
    <t>Ulrich Matthes</t>
  </si>
  <si>
    <t>Juliane Köhler</t>
  </si>
  <si>
    <t>Harry Potter and the Prisoner of Azkaban</t>
  </si>
  <si>
    <t>Alfonso Cuarón</t>
  </si>
  <si>
    <t>Richard Griffiths</t>
  </si>
  <si>
    <t>Creed</t>
  </si>
  <si>
    <t>Ryan Coogler</t>
  </si>
  <si>
    <t>Michael B. Jordan</t>
  </si>
  <si>
    <t>Tessa Thompson</t>
  </si>
  <si>
    <t>Phylicia Rashad</t>
  </si>
  <si>
    <t>Glengarry Glen Ross</t>
  </si>
  <si>
    <t>James Foley</t>
  </si>
  <si>
    <t>Alec Baldwin</t>
  </si>
  <si>
    <t>Alan Arkin</t>
  </si>
  <si>
    <t>The Nightmare Before Christmas</t>
  </si>
  <si>
    <t>76 min</t>
  </si>
  <si>
    <t>Animation, Family, Fantasy</t>
  </si>
  <si>
    <t>Danny Elfman</t>
  </si>
  <si>
    <t>Catherine O'Hara</t>
  </si>
  <si>
    <t>William Hickey</t>
  </si>
  <si>
    <t>Forrest Gump</t>
  </si>
  <si>
    <t>Sally Field</t>
  </si>
  <si>
    <t>Captain Phillips</t>
  </si>
  <si>
    <t>Adventure, Biography, Crime</t>
  </si>
  <si>
    <t>Barkhad Abdi</t>
  </si>
  <si>
    <t>Barkhad Abdirahman</t>
  </si>
  <si>
    <t>Salinui chueok</t>
  </si>
  <si>
    <t>Kim Sang-kyung</t>
  </si>
  <si>
    <t>Roe-ha Kim</t>
  </si>
  <si>
    <t>Jae-ho Song</t>
  </si>
  <si>
    <t>Låt den rätte komma in</t>
  </si>
  <si>
    <t>Tomas Alfredson</t>
  </si>
  <si>
    <t>Kåre Hedebrant</t>
  </si>
  <si>
    <t>Lina Leandersson</t>
  </si>
  <si>
    <t>Per Ragnar</t>
  </si>
  <si>
    <t>Henrik Dahl</t>
  </si>
  <si>
    <t>Star Wars: Episode V - The Empire Strikes Back</t>
  </si>
  <si>
    <t>Irvin Kershner</t>
  </si>
  <si>
    <t>Festen</t>
  </si>
  <si>
    <t>Henning Moritzen</t>
  </si>
  <si>
    <t>Isle of Dogs</t>
  </si>
  <si>
    <t>Koyu Rankin</t>
  </si>
  <si>
    <t>Bob Balaban</t>
  </si>
  <si>
    <t>Blood Simple</t>
  </si>
  <si>
    <t>John Getz</t>
  </si>
  <si>
    <t>Frances McDormand</t>
  </si>
  <si>
    <t>Dan Hedaya</t>
  </si>
  <si>
    <t>Who Framed Roger Rabbit</t>
  </si>
  <si>
    <t>Bob Hoskins</t>
  </si>
  <si>
    <t>Joanna Cassidy</t>
  </si>
  <si>
    <t>Charles Fleischer</t>
  </si>
  <si>
    <t>Amores perros</t>
  </si>
  <si>
    <t>Emilio Echevarría</t>
  </si>
  <si>
    <t>Goya Toledo</t>
  </si>
  <si>
    <t>Álvaro Guerrero</t>
  </si>
  <si>
    <t>Charade</t>
  </si>
  <si>
    <t>1963</t>
  </si>
  <si>
    <t>Comedy, Mystery, Romance</t>
  </si>
  <si>
    <t>Stanley Donen</t>
  </si>
  <si>
    <t>Cary Grant</t>
  </si>
  <si>
    <t>Audrey Hepburn</t>
  </si>
  <si>
    <t>The Lego Movie</t>
  </si>
  <si>
    <t>Christopher Miller</t>
  </si>
  <si>
    <t>Phil Lord</t>
  </si>
  <si>
    <t>Will Ferrell</t>
  </si>
  <si>
    <t>Elizabeth Banks</t>
  </si>
  <si>
    <t>The Magdalene Sisters</t>
  </si>
  <si>
    <t>Peter Mullan</t>
  </si>
  <si>
    <t>Eileen Walsh</t>
  </si>
  <si>
    <t>Dorothy Duffy</t>
  </si>
  <si>
    <t>Nora-Jane Noone</t>
  </si>
  <si>
    <t>Anne-Marie Duff</t>
  </si>
  <si>
    <t>Mustang</t>
  </si>
  <si>
    <t>Deniz Gamze Ergüven</t>
  </si>
  <si>
    <t>Günes Sensoy</t>
  </si>
  <si>
    <t>Doga Zeynep Doguslu</t>
  </si>
  <si>
    <t>Tugba Sunguroglu</t>
  </si>
  <si>
    <t>Elit Iscan</t>
  </si>
  <si>
    <t>The Graduate</t>
  </si>
  <si>
    <t>Mike Nichols</t>
  </si>
  <si>
    <t>Anne Bancroft</t>
  </si>
  <si>
    <t>William Daniels</t>
  </si>
  <si>
    <t>Kaze tachinu</t>
  </si>
  <si>
    <t>Animation, Biography, Drama</t>
  </si>
  <si>
    <t>Hideaki Anno</t>
  </si>
  <si>
    <t>Hidetoshi Nishijima</t>
  </si>
  <si>
    <t>Miori Takimoto</t>
  </si>
  <si>
    <t>Masahiko Nishimura</t>
  </si>
  <si>
    <t>Avatar</t>
  </si>
  <si>
    <t>Michelle Rodriguez</t>
  </si>
  <si>
    <t>Waking Life</t>
  </si>
  <si>
    <t>Trevor Jack Brooks</t>
  </si>
  <si>
    <t>Lorelei Linklater</t>
  </si>
  <si>
    <t>Trainspotting</t>
  </si>
  <si>
    <t>Ewen Bremner</t>
  </si>
  <si>
    <t>Jonny Lee Miller</t>
  </si>
  <si>
    <t>Kevin McKidd</t>
  </si>
  <si>
    <t>Manhattan</t>
  </si>
  <si>
    <t>Mariel Hemingway</t>
  </si>
  <si>
    <t>Michael Murphy</t>
  </si>
  <si>
    <t>The Sting</t>
  </si>
  <si>
    <t>Charles Durning</t>
  </si>
  <si>
    <t>Enter the Dragon</t>
  </si>
  <si>
    <t>Robert Clouse</t>
  </si>
  <si>
    <t>Bruce Lee</t>
  </si>
  <si>
    <t>John Saxon</t>
  </si>
  <si>
    <t>Jim Kelly</t>
  </si>
  <si>
    <t>Ahna Capri</t>
  </si>
  <si>
    <t>Being There</t>
  </si>
  <si>
    <t>Hal Ashby</t>
  </si>
  <si>
    <t>Peter Sellers</t>
  </si>
  <si>
    <t>Shirley MacLaine</t>
  </si>
  <si>
    <t>Jack Warden</t>
  </si>
  <si>
    <t>Kill Bill: Vol. 2</t>
  </si>
  <si>
    <t>Fantastic Mr. Fox</t>
  </si>
  <si>
    <t>87 min</t>
  </si>
  <si>
    <t>Jason Schwartzman</t>
  </si>
  <si>
    <t>Once Upon a Time... in Hollywood</t>
  </si>
  <si>
    <t>A Little Princess</t>
  </si>
  <si>
    <t>Drama, Family, Fantasy</t>
  </si>
  <si>
    <t>Liesel Matthews</t>
  </si>
  <si>
    <t>Eleanor Bron</t>
  </si>
  <si>
    <t>Liam Cunningham</t>
  </si>
  <si>
    <t>Rusty Schwimmer</t>
  </si>
  <si>
    <t>One Flew Over the Cuckoo's Nest</t>
  </si>
  <si>
    <t>1975</t>
  </si>
  <si>
    <t>Milos Forman</t>
  </si>
  <si>
    <t>Louise Fletcher</t>
  </si>
  <si>
    <t>Michael Berryman</t>
  </si>
  <si>
    <t>Peter Brocco</t>
  </si>
  <si>
    <t>No Man's Land</t>
  </si>
  <si>
    <t>Danis Tanovic</t>
  </si>
  <si>
    <t>Branko Djuric</t>
  </si>
  <si>
    <t>Rene Bitorajac</t>
  </si>
  <si>
    <t>Filip Sovagovic</t>
  </si>
  <si>
    <t>Georges Siatidis</t>
  </si>
  <si>
    <t>Kubo and the Two Strings</t>
  </si>
  <si>
    <t>Travis Knight</t>
  </si>
  <si>
    <t>Charlize Theron</t>
  </si>
  <si>
    <t>Art Parkinson</t>
  </si>
  <si>
    <t>Ralph Fiennes</t>
  </si>
  <si>
    <t>2001: A Space Odyssey</t>
  </si>
  <si>
    <t>Keir Dullea</t>
  </si>
  <si>
    <t>Gary Lockwood</t>
  </si>
  <si>
    <t>William Sylvester</t>
  </si>
  <si>
    <t>Daniel Richter</t>
  </si>
  <si>
    <t>In the Name of the Father</t>
  </si>
  <si>
    <t>Pete Postlethwaite</t>
  </si>
  <si>
    <t>Alison Crosbie</t>
  </si>
  <si>
    <t>Philip King</t>
  </si>
  <si>
    <t>Mystic River</t>
  </si>
  <si>
    <t>Emmy Rossum</t>
  </si>
  <si>
    <t>The Dark Knight</t>
  </si>
  <si>
    <t>Heath Ledger</t>
  </si>
  <si>
    <t>Aaron Eckhart</t>
  </si>
  <si>
    <t>Children of Men</t>
  </si>
  <si>
    <t>Toy Story 4</t>
  </si>
  <si>
    <t>Josh Cooley</t>
  </si>
  <si>
    <t>Tim Allen</t>
  </si>
  <si>
    <t>Annie Potts</t>
  </si>
  <si>
    <t>Tony Hale</t>
  </si>
  <si>
    <t>Cat on a Hot Tin Roof</t>
  </si>
  <si>
    <t>1958</t>
  </si>
  <si>
    <t>Richard Brooks</t>
  </si>
  <si>
    <t>Elizabeth Taylor</t>
  </si>
  <si>
    <t>Burl Ives</t>
  </si>
  <si>
    <t>Jack Carson</t>
  </si>
  <si>
    <t>Brazil</t>
  </si>
  <si>
    <t>Jonathan Pryce</t>
  </si>
  <si>
    <t>Kim Greist</t>
  </si>
  <si>
    <t>Katherine Helmond</t>
  </si>
  <si>
    <t>Moonrise Kingdom</t>
  </si>
  <si>
    <t>Jared Gilman</t>
  </si>
  <si>
    <t>Kara Hayward</t>
  </si>
  <si>
    <t>Ah-ga-ssi</t>
  </si>
  <si>
    <t>Drama, Romance, Thriller</t>
  </si>
  <si>
    <t>Kim Min-hee</t>
  </si>
  <si>
    <t>Jung-woo Ha</t>
  </si>
  <si>
    <t>Cho Jin-woong</t>
  </si>
  <si>
    <t>Moon So-Ri</t>
  </si>
  <si>
    <t>The Remains of the Day</t>
  </si>
  <si>
    <t>James Ivory</t>
  </si>
  <si>
    <t>Emma Thompson</t>
  </si>
  <si>
    <t>John Haycraft</t>
  </si>
  <si>
    <t>Christopher Reeve</t>
  </si>
  <si>
    <t>Lagaan: Once Upon a Time in India</t>
  </si>
  <si>
    <t>224 min</t>
  </si>
  <si>
    <t>Adventure, Drama, Musical</t>
  </si>
  <si>
    <t>Ashutosh Gowariker</t>
  </si>
  <si>
    <t>Raghuvir Yadav</t>
  </si>
  <si>
    <t>Gracy Singh</t>
  </si>
  <si>
    <t>Rachel Shelley</t>
  </si>
  <si>
    <t>American Beauty</t>
  </si>
  <si>
    <t>Annette Bening</t>
  </si>
  <si>
    <t>Thora Birch</t>
  </si>
  <si>
    <t>Wes Bentley</t>
  </si>
  <si>
    <t>Sense and Sensibility</t>
  </si>
  <si>
    <t>James Fleet</t>
  </si>
  <si>
    <t>Tom Wilkinson</t>
  </si>
  <si>
    <t>Blade Runner</t>
  </si>
  <si>
    <t>Rutger Hauer</t>
  </si>
  <si>
    <t>Sean Young</t>
  </si>
  <si>
    <t>Edward James Olmos</t>
  </si>
  <si>
    <t>The Insider</t>
  </si>
  <si>
    <t>Diane Venora</t>
  </si>
  <si>
    <t>Shrek</t>
  </si>
  <si>
    <t>Andrew Adamson</t>
  </si>
  <si>
    <t>Vicky Jenson</t>
  </si>
  <si>
    <t>Mike Myers</t>
  </si>
  <si>
    <t>Cameron Diaz</t>
  </si>
  <si>
    <t>All the President's Men</t>
  </si>
  <si>
    <t>Alan J. Pakula</t>
  </si>
  <si>
    <t>Martin Balsam</t>
  </si>
  <si>
    <t>Withnail &amp; I</t>
  </si>
  <si>
    <t>Bruce Robinson</t>
  </si>
  <si>
    <t>Richard E. Grant</t>
  </si>
  <si>
    <t>Paul McGann</t>
  </si>
  <si>
    <t>Ralph Brown</t>
  </si>
  <si>
    <t>The Terminator</t>
  </si>
  <si>
    <t>Michael Biehn</t>
  </si>
  <si>
    <t>Paul Winfield</t>
  </si>
  <si>
    <t>Aliens</t>
  </si>
  <si>
    <t>Carrie Henn</t>
  </si>
  <si>
    <t>Paul Reiser</t>
  </si>
  <si>
    <t>Slumdog Millionaire</t>
  </si>
  <si>
    <t>Loveleen Tandan</t>
  </si>
  <si>
    <t>Freida Pinto</t>
  </si>
  <si>
    <t>Saurabh Shukla</t>
  </si>
  <si>
    <t>From Here to Eternity</t>
  </si>
  <si>
    <t>1953</t>
  </si>
  <si>
    <t>Burt Lancaster</t>
  </si>
  <si>
    <t>Montgomery Clift</t>
  </si>
  <si>
    <t>Deborah Kerr</t>
  </si>
  <si>
    <t>Donna Reed</t>
  </si>
  <si>
    <t>Atonement</t>
  </si>
  <si>
    <t>Saoirse Ronan</t>
  </si>
  <si>
    <t>Harry Potter and the Deathly Hallows: Part 2</t>
  </si>
  <si>
    <t>Raiders of the Lost Ark</t>
  </si>
  <si>
    <t>Karen Allen</t>
  </si>
  <si>
    <t>Paul Freeman</t>
  </si>
  <si>
    <t>John Rhys-Davies</t>
  </si>
  <si>
    <t>The Iron Giant</t>
  </si>
  <si>
    <t>Eli Marienthal</t>
  </si>
  <si>
    <t>Harry Connick Jr.</t>
  </si>
  <si>
    <t>Get Out</t>
  </si>
  <si>
    <t>Jordan Peele</t>
  </si>
  <si>
    <t>Daniel Kaluuya</t>
  </si>
  <si>
    <t>Allison Williams</t>
  </si>
  <si>
    <t>Bradley Whitford</t>
  </si>
  <si>
    <t>Le passé</t>
  </si>
  <si>
    <t>Drama, Mystery</t>
  </si>
  <si>
    <t>Asghar Farhadi</t>
  </si>
  <si>
    <t>Bérénice Bejo</t>
  </si>
  <si>
    <t>Tahar Rahim</t>
  </si>
  <si>
    <t>Ali Mosaffa</t>
  </si>
  <si>
    <t>Pauline Burlet</t>
  </si>
  <si>
    <t>The Departed</t>
  </si>
  <si>
    <t>Song of the Sea</t>
  </si>
  <si>
    <t>Tomm Moore</t>
  </si>
  <si>
    <t>David Rawle</t>
  </si>
  <si>
    <t>Lisa Hannigan</t>
  </si>
  <si>
    <t>Ying xiong</t>
  </si>
  <si>
    <t>Action, Adventure, History</t>
  </si>
  <si>
    <t>Yimou Zhang</t>
  </si>
  <si>
    <t>Maggie Cheung</t>
  </si>
  <si>
    <t>Ziyi Zhang</t>
  </si>
  <si>
    <t>Fargo</t>
  </si>
  <si>
    <t>William H. Macy</t>
  </si>
  <si>
    <t>Steve Buscemi</t>
  </si>
  <si>
    <t>The Bourne Ultimatum</t>
  </si>
  <si>
    <t>Edgar Ramírez</t>
  </si>
  <si>
    <t>Julia Stiles</t>
  </si>
  <si>
    <t>The Silence of the Lambs</t>
  </si>
  <si>
    <t>Lawrence A. Bonney</t>
  </si>
  <si>
    <t>Kasi Lemmons</t>
  </si>
  <si>
    <t>The Conversation</t>
  </si>
  <si>
    <t>John Cazale</t>
  </si>
  <si>
    <t>Allen Garfield</t>
  </si>
  <si>
    <t>Frederic Forrest</t>
  </si>
  <si>
    <t>Unforgiven</t>
  </si>
  <si>
    <t>The Pianist</t>
  </si>
  <si>
    <t>Adrien Brody</t>
  </si>
  <si>
    <t>Thomas Kretschmann</t>
  </si>
  <si>
    <t>Frank Finlay</t>
  </si>
  <si>
    <t>Emilia Fox</t>
  </si>
  <si>
    <t>Boogie Nights</t>
  </si>
  <si>
    <t>Luis Guzmán</t>
  </si>
  <si>
    <t>Mulholland Dr.</t>
  </si>
  <si>
    <t>Laura Harring</t>
  </si>
  <si>
    <t>Jeanne Bates</t>
  </si>
  <si>
    <t>Fa yeung nin wah</t>
  </si>
  <si>
    <t>Ping Lam Siu</t>
  </si>
  <si>
    <t>Tung Cho 'Joe' Cheung</t>
  </si>
  <si>
    <t>Hedwig and the Angry Inch</t>
  </si>
  <si>
    <t>John Cameron Mitchell</t>
  </si>
  <si>
    <t>Miriam Shor</t>
  </si>
  <si>
    <t>Stephen Trask</t>
  </si>
  <si>
    <t>Theodore Liscinski</t>
  </si>
  <si>
    <t>Bom Yeoareum Gaeul Gyeoul Geurigo Bom</t>
  </si>
  <si>
    <t>Yeong-su Oh</t>
  </si>
  <si>
    <t>Jong-ho Kim</t>
  </si>
  <si>
    <t>Kim Young-Min</t>
  </si>
  <si>
    <t>Rushmore</t>
  </si>
  <si>
    <t>Seymour Cassel</t>
  </si>
  <si>
    <t>Room</t>
  </si>
  <si>
    <t>Lenny Abrahamson</t>
  </si>
  <si>
    <t>Sean Bridgers</t>
  </si>
  <si>
    <t>Wendy Crewson</t>
  </si>
  <si>
    <t>Baby Driver</t>
  </si>
  <si>
    <t>Jon Hamm</t>
  </si>
  <si>
    <t>Eiza González</t>
  </si>
  <si>
    <t>Million Dollar Baby</t>
  </si>
  <si>
    <t>Hilary Swank</t>
  </si>
  <si>
    <t>The Deer Hunter</t>
  </si>
  <si>
    <t>183 min</t>
  </si>
  <si>
    <t>Michael Cimino</t>
  </si>
  <si>
    <t>John Savage</t>
  </si>
  <si>
    <t>Mission: Impossible - Fallout</t>
  </si>
  <si>
    <t>Christopher McQuarrie</t>
  </si>
  <si>
    <t>Henry Cavill</t>
  </si>
  <si>
    <t>Ving Rhames</t>
  </si>
  <si>
    <t>The Straight Story</t>
  </si>
  <si>
    <t>Sissy Spacek</t>
  </si>
  <si>
    <t>Jane Galloway Heitz</t>
  </si>
  <si>
    <t>Joseph A. Carpenter</t>
  </si>
  <si>
    <t>Ordinary People</t>
  </si>
  <si>
    <t>Mary Tyler Moore</t>
  </si>
  <si>
    <t>Judd Hirsch</t>
  </si>
  <si>
    <t>Timothy Hutton</t>
  </si>
  <si>
    <t>The Great Escape</t>
  </si>
  <si>
    <t>Argo</t>
  </si>
  <si>
    <t>Dog Day Afternoon</t>
  </si>
  <si>
    <t>Sidney Lumet</t>
  </si>
  <si>
    <t>Penelope Allen</t>
  </si>
  <si>
    <t>Sully Boyar</t>
  </si>
  <si>
    <t>Das Boot</t>
  </si>
  <si>
    <t>Wolfgang Petersen</t>
  </si>
  <si>
    <t>Jürgen Prochnow</t>
  </si>
  <si>
    <t>Herbert Grönemeyer</t>
  </si>
  <si>
    <t>Klaus Wennemann</t>
  </si>
  <si>
    <t>Hubertus Bengsch</t>
  </si>
  <si>
    <t>Gake no ue no Ponyo</t>
  </si>
  <si>
    <t>Tomoko Yamaguchi</t>
  </si>
  <si>
    <t>La double vie de Véronique</t>
  </si>
  <si>
    <t>Krzysztof Kieslowski</t>
  </si>
  <si>
    <t>Irène Jacob</t>
  </si>
  <si>
    <t>Wladyslaw Kowalski</t>
  </si>
  <si>
    <t>Halina Gryglaszewska</t>
  </si>
  <si>
    <t>Kalina Jedrusik</t>
  </si>
  <si>
    <t>Tonari no Totoro</t>
  </si>
  <si>
    <t>Hitoshi Takagi</t>
  </si>
  <si>
    <t>Noriko Hidaka</t>
  </si>
  <si>
    <t>Chika Sakamoto</t>
  </si>
  <si>
    <t>Shigesato Itoi</t>
  </si>
  <si>
    <t>The Odd Couple</t>
  </si>
  <si>
    <t>Gene Saks</t>
  </si>
  <si>
    <t>John Fiedler</t>
  </si>
  <si>
    <t>Herb Edelman</t>
  </si>
  <si>
    <t>Kaze no tani no Naushika</t>
  </si>
  <si>
    <t>Animation, Adventure, Fantasy</t>
  </si>
  <si>
    <t>Sumi Shimamoto</t>
  </si>
  <si>
    <t>Mahito Tsujimura</t>
  </si>
  <si>
    <t>Hisako Kyôda</t>
  </si>
  <si>
    <t>Gorô Naya</t>
  </si>
  <si>
    <t>The Bridge on the River Kwai</t>
  </si>
  <si>
    <t>1957</t>
  </si>
  <si>
    <t>William Holden</t>
  </si>
  <si>
    <t>Alec Guinness</t>
  </si>
  <si>
    <t>Jack Hawkins</t>
  </si>
  <si>
    <t>Sessue Hayakawa</t>
  </si>
  <si>
    <t>Moneyball</t>
  </si>
  <si>
    <t>Bennett Miller</t>
  </si>
  <si>
    <t>Spartacus</t>
  </si>
  <si>
    <t>Laurence Olivier</t>
  </si>
  <si>
    <t>Jean Simmons</t>
  </si>
  <si>
    <t>Charles Laughton</t>
  </si>
  <si>
    <t>Spider-Man: Into the Spider-Verse</t>
  </si>
  <si>
    <t>Bob Persichetti</t>
  </si>
  <si>
    <t>Peter Ramsey</t>
  </si>
  <si>
    <t>Rodney Rothman</t>
  </si>
  <si>
    <t>Shameik Moore</t>
  </si>
  <si>
    <t>Jake Johnson</t>
  </si>
  <si>
    <t>Jaws</t>
  </si>
  <si>
    <t>Adventure, Thriller</t>
  </si>
  <si>
    <t>Richard Dreyfuss</t>
  </si>
  <si>
    <t>Lorraine Gary</t>
  </si>
  <si>
    <t>Darbareye Elly</t>
  </si>
  <si>
    <t>TV-PG</t>
  </si>
  <si>
    <t>Golshifteh Farahani</t>
  </si>
  <si>
    <t>Shahab Hosseini</t>
  </si>
  <si>
    <t>Taraneh Alidoosti</t>
  </si>
  <si>
    <t>Merila Zare'i</t>
  </si>
  <si>
    <t>Goldfinger</t>
  </si>
  <si>
    <t>1964</t>
  </si>
  <si>
    <t>Guy Hamilton</t>
  </si>
  <si>
    <t>Gert Fröbe</t>
  </si>
  <si>
    <t>Honor Blackman</t>
  </si>
  <si>
    <t>Shirley Eaton</t>
  </si>
  <si>
    <t>Brokeback Mountain</t>
  </si>
  <si>
    <t>Randy Quaid</t>
  </si>
  <si>
    <t>Halloween</t>
  </si>
  <si>
    <t>91 min</t>
  </si>
  <si>
    <t>Horror, Thriller</t>
  </si>
  <si>
    <t>Donald Pleasence</t>
  </si>
  <si>
    <t>Tony Moran</t>
  </si>
  <si>
    <t>Nancy Kyes</t>
  </si>
  <si>
    <t>Birdman or (The Unexpected Virtue of Ignorance)</t>
  </si>
  <si>
    <t>Michael Keaton</t>
  </si>
  <si>
    <t>Andrea Riseborough</t>
  </si>
  <si>
    <t>Nebraska</t>
  </si>
  <si>
    <t>Alexander Payne</t>
  </si>
  <si>
    <t>Bruce Dern</t>
  </si>
  <si>
    <t>Will Forte</t>
  </si>
  <si>
    <t>June Squibb</t>
  </si>
  <si>
    <t>Bob Odenkirk</t>
  </si>
  <si>
    <t>The Fugitive</t>
  </si>
  <si>
    <t>Andrew Davis</t>
  </si>
  <si>
    <t>Tommy Lee Jones</t>
  </si>
  <si>
    <t>Sela Ward</t>
  </si>
  <si>
    <t>Serpico</t>
  </si>
  <si>
    <t>John Randolph</t>
  </si>
  <si>
    <t>Jack Kehoe</t>
  </si>
  <si>
    <t>Biff McGuire</t>
  </si>
  <si>
    <t>It Happened One Night</t>
  </si>
  <si>
    <t>1934</t>
  </si>
  <si>
    <t>Clark Gable</t>
  </si>
  <si>
    <t>Claudette Colbert</t>
  </si>
  <si>
    <t>Walter Connolly</t>
  </si>
  <si>
    <t>Roscoe Karns</t>
  </si>
  <si>
    <t>The Lord of the Rings: The Two Towers</t>
  </si>
  <si>
    <t>179 min</t>
  </si>
  <si>
    <t>Elijah Wood</t>
  </si>
  <si>
    <t>Back to the Future</t>
  </si>
  <si>
    <t>Three Billboards Outside Ebbing, Missouri</t>
  </si>
  <si>
    <t>Caleb Landry Jones</t>
  </si>
  <si>
    <t>Paddington 2</t>
  </si>
  <si>
    <t>Paul King</t>
  </si>
  <si>
    <t>Ben Whishaw</t>
  </si>
  <si>
    <t>Hugh Grant</t>
  </si>
  <si>
    <t>Hugh Bonneville</t>
  </si>
  <si>
    <t>Sally Hawkins</t>
  </si>
  <si>
    <t>Hell or High Water</t>
  </si>
  <si>
    <t>David Mackenzie</t>
  </si>
  <si>
    <t>Gil Birmingham</t>
  </si>
  <si>
    <t>Toy Story 2</t>
  </si>
  <si>
    <t>John Lasseter</t>
  </si>
  <si>
    <t>Ash Brannon</t>
  </si>
  <si>
    <t>The Grand Budapest Hotel</t>
  </si>
  <si>
    <t>F. Murray Abraham</t>
  </si>
  <si>
    <t>Mathieu Amalric</t>
  </si>
  <si>
    <t>The King's Speech</t>
  </si>
  <si>
    <t>Tom Hooper</t>
  </si>
  <si>
    <t>Helena Bonham Carter</t>
  </si>
  <si>
    <t>Derek Jacobi</t>
  </si>
  <si>
    <t>The Little Mermaid</t>
  </si>
  <si>
    <t>Jodi Benson</t>
  </si>
  <si>
    <t>Samuel E. Wright</t>
  </si>
  <si>
    <t>Rene Auberjonois</t>
  </si>
  <si>
    <t>Y tu mamá también</t>
  </si>
  <si>
    <t>Maribel Verdú</t>
  </si>
  <si>
    <t>Daniel Giménez Cacho</t>
  </si>
  <si>
    <t>Ana López Mercado</t>
  </si>
  <si>
    <t>The Innocents</t>
  </si>
  <si>
    <t>1961</t>
  </si>
  <si>
    <t>Jack Clayton</t>
  </si>
  <si>
    <t>Peter Wyngarde</t>
  </si>
  <si>
    <t>Megs Jenkins</t>
  </si>
  <si>
    <t>Michael Redgrave</t>
  </si>
  <si>
    <t>A Star Is Born</t>
  </si>
  <si>
    <t>Lady Gaga</t>
  </si>
  <si>
    <t>Greg Grunberg</t>
  </si>
  <si>
    <t>Mary Poppins</t>
  </si>
  <si>
    <t>Comedy, Family, Fantasy</t>
  </si>
  <si>
    <t>Robert Stevenson</t>
  </si>
  <si>
    <t>Dick Van Dyke</t>
  </si>
  <si>
    <t>David Tomlinson</t>
  </si>
  <si>
    <t>Glynis Johns</t>
  </si>
  <si>
    <t>Trois couleurs: Blanc</t>
  </si>
  <si>
    <t>Zbigniew Zamachowski</t>
  </si>
  <si>
    <t>Janusz Gajos</t>
  </si>
  <si>
    <t>Jerzy Stuhr</t>
  </si>
  <si>
    <t>Amadeus</t>
  </si>
  <si>
    <t>160 min</t>
  </si>
  <si>
    <t>Tom Hulce</t>
  </si>
  <si>
    <t>Elizabeth Berridge</t>
  </si>
  <si>
    <t>Roy Dotrice</t>
  </si>
  <si>
    <t>Strangers on a Train</t>
  </si>
  <si>
    <t>Crime, Film-Noir, Thriller</t>
  </si>
  <si>
    <t>Farley Granger</t>
  </si>
  <si>
    <t>Robert Walker</t>
  </si>
  <si>
    <t>Ruth Roman</t>
  </si>
  <si>
    <t>Leo G. Carroll</t>
  </si>
  <si>
    <t>Whiplash</t>
  </si>
  <si>
    <t>Damien Chazelle</t>
  </si>
  <si>
    <t>J.K. Simmons</t>
  </si>
  <si>
    <t>Melissa Benoist</t>
  </si>
  <si>
    <t>The Lion King</t>
  </si>
  <si>
    <t>Roger Allers</t>
  </si>
  <si>
    <t>Rob Minkoff</t>
  </si>
  <si>
    <t>James Earl Jones</t>
  </si>
  <si>
    <t>Once</t>
  </si>
  <si>
    <t>Glen Hansard</t>
  </si>
  <si>
    <t>Markéta Irglová</t>
  </si>
  <si>
    <t>Hugh Walsh</t>
  </si>
  <si>
    <t>Gerard Hendrick</t>
  </si>
  <si>
    <t>Donnie Darko</t>
  </si>
  <si>
    <t>Richard Kelly</t>
  </si>
  <si>
    <t>Jena Malone</t>
  </si>
  <si>
    <t>Holmes Osborne</t>
  </si>
  <si>
    <t>Au revoir les enfants</t>
  </si>
  <si>
    <t>Louis Malle</t>
  </si>
  <si>
    <t>Gaspard Manesse</t>
  </si>
  <si>
    <t>Raphael Fejtö</t>
  </si>
  <si>
    <t>Francine Racette</t>
  </si>
  <si>
    <t>Stanislas Carré de Malberg</t>
  </si>
  <si>
    <t>The Artist</t>
  </si>
  <si>
    <t>Michel Hazanavicius</t>
  </si>
  <si>
    <t>Jean Dujardin</t>
  </si>
  <si>
    <t>James Cromwell</t>
  </si>
  <si>
    <t>Letters from Iwo Jima</t>
  </si>
  <si>
    <t>Kazunari Ninomiya</t>
  </si>
  <si>
    <t>Tsuyoshi Ihara</t>
  </si>
  <si>
    <t>Ryô Kase</t>
  </si>
  <si>
    <t>Lost in Translation</t>
  </si>
  <si>
    <t>Sofia Coppola</t>
  </si>
  <si>
    <t>Giovanni Ribisi</t>
  </si>
  <si>
    <t>Anna Faris</t>
  </si>
  <si>
    <t>La vie d'Adèle</t>
  </si>
  <si>
    <t>Abdellatif Kechiche</t>
  </si>
  <si>
    <t>Léa Seydoux</t>
  </si>
  <si>
    <t>Adèle Exarchopoulos</t>
  </si>
  <si>
    <t>Salim Kechiouche</t>
  </si>
  <si>
    <t>Aurélien Recoing</t>
  </si>
  <si>
    <t>Eternal Sunshine of the Spotless Mind</t>
  </si>
  <si>
    <t>Drama, Romance, Sci-Fi</t>
  </si>
  <si>
    <t>Michel Gondry</t>
  </si>
  <si>
    <t>Jim Carrey</t>
  </si>
  <si>
    <t>Gerry Robert Byrne</t>
  </si>
  <si>
    <t>Kaguyahime no monogatari</t>
  </si>
  <si>
    <t>Isao Takahata</t>
  </si>
  <si>
    <t>James Marsden</t>
  </si>
  <si>
    <t>The Lives of Others</t>
  </si>
  <si>
    <t>Florian Henckel von Donnersmarck</t>
  </si>
  <si>
    <t>Ulrich Mühe</t>
  </si>
  <si>
    <t>Martina Gedeck</t>
  </si>
  <si>
    <t>High Noon</t>
  </si>
  <si>
    <t>1952</t>
  </si>
  <si>
    <t>Drama, Thriller, Western</t>
  </si>
  <si>
    <t>Gary Cooper</t>
  </si>
  <si>
    <t>Thomas Mitchell</t>
  </si>
  <si>
    <t>Lloyd Bridges</t>
  </si>
  <si>
    <t>Raging Bull</t>
  </si>
  <si>
    <t>Cathy Moriarty</t>
  </si>
  <si>
    <t>Frank Vincent</t>
  </si>
  <si>
    <t>The Truman Show</t>
  </si>
  <si>
    <t>Noah Emmerich</t>
  </si>
  <si>
    <t>L.A. Confidential</t>
  </si>
  <si>
    <t>Curtis Hanson</t>
  </si>
  <si>
    <t>Kim Basinger</t>
  </si>
  <si>
    <t>Persepolis</t>
  </si>
  <si>
    <t>Vincent Paronnaud</t>
  </si>
  <si>
    <t>Marjane Satrapi</t>
  </si>
  <si>
    <t>Chiara Mastroianni</t>
  </si>
  <si>
    <t>Her</t>
  </si>
  <si>
    <t>Spike Jonze</t>
  </si>
  <si>
    <t>Close Encounters of the Third Kind</t>
  </si>
  <si>
    <t>1977</t>
  </si>
  <si>
    <t>François Truffaut</t>
  </si>
  <si>
    <t>Teri Garr</t>
  </si>
  <si>
    <t>The Birds</t>
  </si>
  <si>
    <t>Drama, Horror, Mystery</t>
  </si>
  <si>
    <t>Rod Taylor</t>
  </si>
  <si>
    <t>Tippi Hedren</t>
  </si>
  <si>
    <t>Suzanne Pleshette</t>
  </si>
  <si>
    <t>Before Sunset</t>
  </si>
  <si>
    <t>Vernon Dobtcheff</t>
  </si>
  <si>
    <t>Louise Lemoine Torrès</t>
  </si>
  <si>
    <t>After Hours</t>
  </si>
  <si>
    <t>Griffin Dunne</t>
  </si>
  <si>
    <t>Rosanna Arquette</t>
  </si>
  <si>
    <t>Verna Bloom</t>
  </si>
  <si>
    <t>Tommy Chong</t>
  </si>
  <si>
    <t>Un prophète</t>
  </si>
  <si>
    <t>Jacques Audiard</t>
  </si>
  <si>
    <t>Niels Arestrup</t>
  </si>
  <si>
    <t>Adel Bencherif</t>
  </si>
  <si>
    <t>Reda Kateb</t>
  </si>
  <si>
    <t>Omohide poro poro</t>
  </si>
  <si>
    <t>Animation, Drama, Romance</t>
  </si>
  <si>
    <t>Miki Imai</t>
  </si>
  <si>
    <t>Toshirô Yanagiba</t>
  </si>
  <si>
    <t>Yoko Honna</t>
  </si>
  <si>
    <t>Mayumi Izuka</t>
  </si>
  <si>
    <t>The Incredibles</t>
  </si>
  <si>
    <t>Jason Lee</t>
  </si>
  <si>
    <t>The Godfather: Part II</t>
  </si>
  <si>
    <t>Hannah and Her Sisters</t>
  </si>
  <si>
    <t>Dirty Harry</t>
  </si>
  <si>
    <t>Don Siegel</t>
  </si>
  <si>
    <t>Andrew Robinson</t>
  </si>
  <si>
    <t>Harry Guardino</t>
  </si>
  <si>
    <t>Reni Santoni</t>
  </si>
  <si>
    <t>Almost Famous</t>
  </si>
  <si>
    <t>Cameron Crowe</t>
  </si>
  <si>
    <t>Patrick Fugit</t>
  </si>
  <si>
    <t>Kate Hudson</t>
  </si>
  <si>
    <t>Mad Max: Fury Road</t>
  </si>
  <si>
    <t>Nicholas Hoult</t>
  </si>
  <si>
    <t>Zoë Kravitz</t>
  </si>
  <si>
    <t>Ben-Hur</t>
  </si>
  <si>
    <t>1959</t>
  </si>
  <si>
    <t>212 min</t>
  </si>
  <si>
    <t>William Wyler</t>
  </si>
  <si>
    <t>Stephen Boyd</t>
  </si>
  <si>
    <t>Haya Harareet</t>
  </si>
  <si>
    <t>Il buono, il brutto, il cattivo</t>
  </si>
  <si>
    <t>Lee Van Cleef</t>
  </si>
  <si>
    <t>Aldo Giuffrè</t>
  </si>
  <si>
    <t>Goodfellas</t>
  </si>
  <si>
    <t>Ray Liotta</t>
  </si>
  <si>
    <t>Lorraine Bracco</t>
  </si>
  <si>
    <t>Being John Malkovich</t>
  </si>
  <si>
    <t>John Cusack</t>
  </si>
  <si>
    <t>King Kong</t>
  </si>
  <si>
    <t>1933</t>
  </si>
  <si>
    <t>Adventure, Horror, Sci-Fi</t>
  </si>
  <si>
    <t>Merian C. Cooper</t>
  </si>
  <si>
    <t>Ernest B. Schoedsack</t>
  </si>
  <si>
    <t>Fay Wray</t>
  </si>
  <si>
    <t>Robert Armstrong</t>
  </si>
  <si>
    <t>Bruce Cabot</t>
  </si>
  <si>
    <t>No Country for Old Men</t>
  </si>
  <si>
    <t>Patton</t>
  </si>
  <si>
    <t>Biography, Drama, War</t>
  </si>
  <si>
    <t>George C. Scott</t>
  </si>
  <si>
    <t>Karl Malden</t>
  </si>
  <si>
    <t>Stephen Young</t>
  </si>
  <si>
    <t>Michael Strong</t>
  </si>
  <si>
    <t>E.T. the Extra-Terrestrial</t>
  </si>
  <si>
    <t>Family, Sci-Fi</t>
  </si>
  <si>
    <t>Henry Thomas</t>
  </si>
  <si>
    <t>Drew Barrymore</t>
  </si>
  <si>
    <t>Peter Coyote</t>
  </si>
  <si>
    <t>Dee Wallace</t>
  </si>
  <si>
    <t>All Quiet on the Western Front</t>
  </si>
  <si>
    <t>1930</t>
  </si>
  <si>
    <t>Lewis Milestone</t>
  </si>
  <si>
    <t>Lew Ayres</t>
  </si>
  <si>
    <t>Louis Wolheim</t>
  </si>
  <si>
    <t>John Wray</t>
  </si>
  <si>
    <t>Arnold Lucy</t>
  </si>
  <si>
    <t>Monty Python and the Holy Grail</t>
  </si>
  <si>
    <t>Eric Idle</t>
  </si>
  <si>
    <t>Les triplettes de Belleville</t>
  </si>
  <si>
    <t>Animation, Comedy, Drama</t>
  </si>
  <si>
    <t>Sylvain Chomet</t>
  </si>
  <si>
    <t>Michèle Caucheteux</t>
  </si>
  <si>
    <t>Jean-Claude Donda</t>
  </si>
  <si>
    <t>Michel Robin</t>
  </si>
  <si>
    <t>Monica Viegas</t>
  </si>
  <si>
    <t>The Right Stuff</t>
  </si>
  <si>
    <t>193 min</t>
  </si>
  <si>
    <t>Philip Kaufman</t>
  </si>
  <si>
    <t>Sam Shepard</t>
  </si>
  <si>
    <t>Dennis Quaid</t>
  </si>
  <si>
    <t>On the Waterfront</t>
  </si>
  <si>
    <t>Elia Kazan</t>
  </si>
  <si>
    <t>Marlon Brando</t>
  </si>
  <si>
    <t>Secrets &amp; Lies</t>
  </si>
  <si>
    <t>Mike Leigh</t>
  </si>
  <si>
    <t>Timothy Spall</t>
  </si>
  <si>
    <t>Phyllis Logan</t>
  </si>
  <si>
    <t>Claire Rushbrook</t>
  </si>
  <si>
    <t>Little Women</t>
  </si>
  <si>
    <t>Greta Gerwig</t>
  </si>
  <si>
    <t>Florence Pugh</t>
  </si>
  <si>
    <t>Eliza Scanlen</t>
  </si>
  <si>
    <t>The African Queen</t>
  </si>
  <si>
    <t>John Huston</t>
  </si>
  <si>
    <t>Humphrey Bogart</t>
  </si>
  <si>
    <t>Robert Morley</t>
  </si>
  <si>
    <t>Peter Bull</t>
  </si>
  <si>
    <t>Saving Private Ryan</t>
  </si>
  <si>
    <t>Edward Burns</t>
  </si>
  <si>
    <t>The Florida Project</t>
  </si>
  <si>
    <t>Sean Baker</t>
  </si>
  <si>
    <t>Brooklynn Prince</t>
  </si>
  <si>
    <t>Bria Vinaite</t>
  </si>
  <si>
    <t>Willem Dafoe</t>
  </si>
  <si>
    <t>Christopher Rivera</t>
  </si>
  <si>
    <t>Le scaphandre et le papillon</t>
  </si>
  <si>
    <t>Julian Schnabel</t>
  </si>
  <si>
    <t>Marie-Josée Croze</t>
  </si>
  <si>
    <t>Toy Story 3</t>
  </si>
  <si>
    <t>Joan Cusack</t>
  </si>
  <si>
    <t>This Is Spinal Tap</t>
  </si>
  <si>
    <t>Comedy, Music</t>
  </si>
  <si>
    <t>Christopher Guest</t>
  </si>
  <si>
    <t>Kimberly Stringer</t>
  </si>
  <si>
    <t>Platoon</t>
  </si>
  <si>
    <t>Charlie Sheen</t>
  </si>
  <si>
    <t>The Lord of the Rings: The Fellowship of the Ring</t>
  </si>
  <si>
    <t>Sean Bean</t>
  </si>
  <si>
    <t>The Wizard of Oz</t>
  </si>
  <si>
    <t>Victor Fleming</t>
  </si>
  <si>
    <t>George Cukor</t>
  </si>
  <si>
    <t>Mervyn LeRoy</t>
  </si>
  <si>
    <t>Norman Taurog</t>
  </si>
  <si>
    <t>Richard Thorpe</t>
  </si>
  <si>
    <t>Cool Hand Luke</t>
  </si>
  <si>
    <t>Stuart Rosenberg</t>
  </si>
  <si>
    <t>George Kennedy</t>
  </si>
  <si>
    <t>J.D. Cannon</t>
  </si>
  <si>
    <t>Leviafan</t>
  </si>
  <si>
    <t>Andrey Zvyagintsev</t>
  </si>
  <si>
    <t>Aleksey Serebryakov</t>
  </si>
  <si>
    <t>Elena Lyadova</t>
  </si>
  <si>
    <t>Roman Madyanov</t>
  </si>
  <si>
    <t>Vladimir Vdovichenkov</t>
  </si>
  <si>
    <t>Annie Hall</t>
  </si>
  <si>
    <t>Tony Roberts</t>
  </si>
  <si>
    <t>Carol Kane</t>
  </si>
  <si>
    <t>There Will Be Blood</t>
  </si>
  <si>
    <t>Paul Dano</t>
  </si>
  <si>
    <t>Martin Stringer</t>
  </si>
  <si>
    <t>Spotlight</t>
  </si>
  <si>
    <t>Call Me by Your Name</t>
  </si>
  <si>
    <t>Luca Guadagnino</t>
  </si>
  <si>
    <t>Armie Hammer</t>
  </si>
  <si>
    <t>Timothée Chalamet</t>
  </si>
  <si>
    <t>Amira Casar</t>
  </si>
  <si>
    <t>Do the Right Thing</t>
  </si>
  <si>
    <t>Ossie Davis</t>
  </si>
  <si>
    <t>Ruby Dee</t>
  </si>
  <si>
    <t>Richard Edson</t>
  </si>
  <si>
    <t>The Best Years of Our Lives</t>
  </si>
  <si>
    <t>1946</t>
  </si>
  <si>
    <t>Myrna Loy</t>
  </si>
  <si>
    <t>Dana Andrews</t>
  </si>
  <si>
    <t>Fredric March</t>
  </si>
  <si>
    <t>Teresa Wright</t>
  </si>
  <si>
    <t>Manbiki kazoku</t>
  </si>
  <si>
    <t>Hirokazu Koreeda</t>
  </si>
  <si>
    <t>Lily Franky</t>
  </si>
  <si>
    <t>Sakura Andô</t>
  </si>
  <si>
    <t>Kirin Kiki</t>
  </si>
  <si>
    <t>Mayu Matsuoka</t>
  </si>
  <si>
    <t>Le charme discret de la bourgeoisie</t>
  </si>
  <si>
    <t>Luis Buñuel</t>
  </si>
  <si>
    <t>Fernando Rey</t>
  </si>
  <si>
    <t>Delphine Seyrig</t>
  </si>
  <si>
    <t>Paul Frankeur</t>
  </si>
  <si>
    <t>Bulle Ogier</t>
  </si>
  <si>
    <t>Rio Bravo</t>
  </si>
  <si>
    <t>Action, Drama, Western</t>
  </si>
  <si>
    <t>Howard Hawks</t>
  </si>
  <si>
    <t>John Wayne</t>
  </si>
  <si>
    <t>Dean Martin</t>
  </si>
  <si>
    <t>Ricky Nelson</t>
  </si>
  <si>
    <t>Angie Dickinson</t>
  </si>
  <si>
    <t>Taxi Driver</t>
  </si>
  <si>
    <t>Cybill Shepherd</t>
  </si>
  <si>
    <t>Apocalypse Now</t>
  </si>
  <si>
    <t>The Irishman</t>
  </si>
  <si>
    <t>209 min</t>
  </si>
  <si>
    <t>Before Midnight</t>
  </si>
  <si>
    <t>Seamus Davey-Fitzpatrick</t>
  </si>
  <si>
    <t>Ariane Labed</t>
  </si>
  <si>
    <t>Amour</t>
  </si>
  <si>
    <t>Jean-Louis Trintignant</t>
  </si>
  <si>
    <t>Emmanuelle Riva</t>
  </si>
  <si>
    <t>Isabelle Huppert</t>
  </si>
  <si>
    <t>Alexandre Tharaud</t>
  </si>
  <si>
    <t>La La Land</t>
  </si>
  <si>
    <t>Rosemarie DeWitt</t>
  </si>
  <si>
    <t>Dunkirk</t>
  </si>
  <si>
    <t>Fionn Whitehead</t>
  </si>
  <si>
    <t>Barry Keoghan</t>
  </si>
  <si>
    <t>Wo hu cang long</t>
  </si>
  <si>
    <t>Yun-Fat Chow</t>
  </si>
  <si>
    <t>Michelle Yeoh</t>
  </si>
  <si>
    <t>Chen Chang</t>
  </si>
  <si>
    <t>Schindler's List</t>
  </si>
  <si>
    <t>195 min</t>
  </si>
  <si>
    <t>Caroline Goodall</t>
  </si>
  <si>
    <t>Pulp Fiction</t>
  </si>
  <si>
    <t>John Travolta</t>
  </si>
  <si>
    <t>The Lord of the Rings: The Return of the King</t>
  </si>
  <si>
    <t>201 min</t>
  </si>
  <si>
    <t>The Apartment</t>
  </si>
  <si>
    <t>Fred MacMurray</t>
  </si>
  <si>
    <t>Ray Walston</t>
  </si>
  <si>
    <t>Inside Out</t>
  </si>
  <si>
    <t>Ronnie Del Carmen</t>
  </si>
  <si>
    <t>Bill Hader</t>
  </si>
  <si>
    <t>Lewis Black</t>
  </si>
  <si>
    <t>The French Connection</t>
  </si>
  <si>
    <t>Tony Lo Bianco</t>
  </si>
  <si>
    <t>Marriage Story</t>
  </si>
  <si>
    <t>Noah Baumbach</t>
  </si>
  <si>
    <t>Adam Driver</t>
  </si>
  <si>
    <t>Julia Greer</t>
  </si>
  <si>
    <t>Azhy Robertson</t>
  </si>
  <si>
    <t>Toy Story</t>
  </si>
  <si>
    <t>Jim Varney</t>
  </si>
  <si>
    <t>WALL·E</t>
  </si>
  <si>
    <t>Andrew Stanton</t>
  </si>
  <si>
    <t>Ben Burtt</t>
  </si>
  <si>
    <t>Elissa Knight</t>
  </si>
  <si>
    <t>Jeff Garlin</t>
  </si>
  <si>
    <t>Fred Willard</t>
  </si>
  <si>
    <t>Beauty and the Beast</t>
  </si>
  <si>
    <t>Gary Trousdale</t>
  </si>
  <si>
    <t>Kirk Wise</t>
  </si>
  <si>
    <t>Paige O'Hara</t>
  </si>
  <si>
    <t>Robby Benson</t>
  </si>
  <si>
    <t>Jesse Corti</t>
  </si>
  <si>
    <t>Jodaeiye Nader az Simin</t>
  </si>
  <si>
    <t>Payman Maadi</t>
  </si>
  <si>
    <t>Leila Hatami</t>
  </si>
  <si>
    <t>Sareh Bayat</t>
  </si>
  <si>
    <t>My Fair Lady</t>
  </si>
  <si>
    <t>Rex Harrison</t>
  </si>
  <si>
    <t>Stanley Holloway</t>
  </si>
  <si>
    <t>Wilfrid Hyde-White</t>
  </si>
  <si>
    <t>La dolce vita</t>
  </si>
  <si>
    <t>174 min</t>
  </si>
  <si>
    <t>Federico Fellini</t>
  </si>
  <si>
    <t>Marcello Mastroianni</t>
  </si>
  <si>
    <t>Anita Ekberg</t>
  </si>
  <si>
    <t>Anouk Aimée</t>
  </si>
  <si>
    <t>Yvonne Furneaux</t>
  </si>
  <si>
    <t>The Social Network</t>
  </si>
  <si>
    <t>Justin Timberlake</t>
  </si>
  <si>
    <t>Double Indemnity</t>
  </si>
  <si>
    <t>1944</t>
  </si>
  <si>
    <t>Crime, Drama, Film-Noir</t>
  </si>
  <si>
    <t>Barbara Stanwyck</t>
  </si>
  <si>
    <t>Edward G. Robinson</t>
  </si>
  <si>
    <t>Byron Barr</t>
  </si>
  <si>
    <t>12 Years a Slave</t>
  </si>
  <si>
    <t>Michael Kenneth Williams</t>
  </si>
  <si>
    <t>Sen to Chihiro no kamikakushi</t>
  </si>
  <si>
    <t>Daveigh Chase</t>
  </si>
  <si>
    <t>Miyu Irino</t>
  </si>
  <si>
    <t>Rumi Hiiragi</t>
  </si>
  <si>
    <t>Ratatouille</t>
  </si>
  <si>
    <t>Jan Pinkava</t>
  </si>
  <si>
    <t>Brad Garrett</t>
  </si>
  <si>
    <t>Lou Romano</t>
  </si>
  <si>
    <t>Patton Oswalt</t>
  </si>
  <si>
    <t>Manchester by the Sea</t>
  </si>
  <si>
    <t>Kenneth Lonergan</t>
  </si>
  <si>
    <t>Kyle Chandler</t>
  </si>
  <si>
    <t>Lucas Hedges</t>
  </si>
  <si>
    <t>12 Angry Men</t>
  </si>
  <si>
    <t>Gravity</t>
  </si>
  <si>
    <t>Orto Ignatiussen</t>
  </si>
  <si>
    <t>The Grapes of Wrath</t>
  </si>
  <si>
    <t>1940</t>
  </si>
  <si>
    <t>Drama, History</t>
  </si>
  <si>
    <t>John Ford</t>
  </si>
  <si>
    <t>Jane Darwell</t>
  </si>
  <si>
    <t>John Carradine</t>
  </si>
  <si>
    <t>Charley Grapewin</t>
  </si>
  <si>
    <t>Modern Times</t>
  </si>
  <si>
    <t>1936</t>
  </si>
  <si>
    <t>Charles Chaplin</t>
  </si>
  <si>
    <t>Paulette Goddard</t>
  </si>
  <si>
    <t>Henry Bergman</t>
  </si>
  <si>
    <t>Tiny Sandford</t>
  </si>
  <si>
    <t>Gisaengchung</t>
  </si>
  <si>
    <t>Lee Sun-kyun</t>
  </si>
  <si>
    <t>Cho Yeo-jeong</t>
  </si>
  <si>
    <t>Choi Woo-sik</t>
  </si>
  <si>
    <t>Ran</t>
  </si>
  <si>
    <t>Akira Kurosawa</t>
  </si>
  <si>
    <t>Tatsuya Nakadai</t>
  </si>
  <si>
    <t>Akira Terao</t>
  </si>
  <si>
    <t>Jinpachi Nezu</t>
  </si>
  <si>
    <t>Daisuke Ryû</t>
  </si>
  <si>
    <t>A Hard Day's Night</t>
  </si>
  <si>
    <t>Comedy, Music, Musical</t>
  </si>
  <si>
    <t>Richard Lester</t>
  </si>
  <si>
    <t>John Lennon</t>
  </si>
  <si>
    <t>Paul McCartney</t>
  </si>
  <si>
    <t>George Harrison</t>
  </si>
  <si>
    <t>Ringo Starr</t>
  </si>
  <si>
    <t>The Wild Bunch</t>
  </si>
  <si>
    <t>Sam Peckinpah</t>
  </si>
  <si>
    <t>Ernest Borgnine</t>
  </si>
  <si>
    <t>Robert Ryan</t>
  </si>
  <si>
    <t>Edmond O'Brien</t>
  </si>
  <si>
    <t>Psycho</t>
  </si>
  <si>
    <t>Anthony Perkins</t>
  </si>
  <si>
    <t>Janet Leigh</t>
  </si>
  <si>
    <t>Vera Miles</t>
  </si>
  <si>
    <t>John Gavin</t>
  </si>
  <si>
    <t>A Streetcar Named Desire</t>
  </si>
  <si>
    <t>Vivien Leigh</t>
  </si>
  <si>
    <t>My Left Foot: The Story of Christy Brown</t>
  </si>
  <si>
    <t>Brenda Fricker</t>
  </si>
  <si>
    <t>Alison Whelan</t>
  </si>
  <si>
    <t>Kirsten Sheridan</t>
  </si>
  <si>
    <t>Gone with the Wind</t>
  </si>
  <si>
    <t>238 min</t>
  </si>
  <si>
    <t>Drama, History, Romance</t>
  </si>
  <si>
    <t>Sam Wood</t>
  </si>
  <si>
    <t>The Adventures of Robin Hood</t>
  </si>
  <si>
    <t>1938</t>
  </si>
  <si>
    <t>Action, Adventure, Romance</t>
  </si>
  <si>
    <t>Michael Curtiz</t>
  </si>
  <si>
    <t>William Keighley</t>
  </si>
  <si>
    <t>Errol Flynn</t>
  </si>
  <si>
    <t>Olivia de Havilland</t>
  </si>
  <si>
    <t>Basil Rathbone</t>
  </si>
  <si>
    <t>Dr. Strangelove or: How I Learned to Stop Worrying and Love the Bomb</t>
  </si>
  <si>
    <t>Sterling Hayden</t>
  </si>
  <si>
    <t>Keenan Wynn</t>
  </si>
  <si>
    <t>All About Eve</t>
  </si>
  <si>
    <t>1950</t>
  </si>
  <si>
    <t>Joseph L. Mankiewicz</t>
  </si>
  <si>
    <t>Anne Baxter</t>
  </si>
  <si>
    <t>George Sanders</t>
  </si>
  <si>
    <t>Celeste Holm</t>
  </si>
  <si>
    <t>Some Like It Hot</t>
  </si>
  <si>
    <t>Comedy, Music, Romance</t>
  </si>
  <si>
    <t>Marilyn Monroe</t>
  </si>
  <si>
    <t>Tony Curtis</t>
  </si>
  <si>
    <t>George Raft</t>
  </si>
  <si>
    <t>The Treasure of the Sierra Madre</t>
  </si>
  <si>
    <t>1948</t>
  </si>
  <si>
    <t>Walter Huston</t>
  </si>
  <si>
    <t>Tim Holt</t>
  </si>
  <si>
    <t>Bruce Bennett</t>
  </si>
  <si>
    <t>North by Northwest</t>
  </si>
  <si>
    <t>Adventure, Mystery, Thriller</t>
  </si>
  <si>
    <t>Eva Marie Saint</t>
  </si>
  <si>
    <t>James Mason</t>
  </si>
  <si>
    <t>Jessie Royce Landis</t>
  </si>
  <si>
    <t>Touch of Evil</t>
  </si>
  <si>
    <t>Orson Welles</t>
  </si>
  <si>
    <t>Joseph Calleia</t>
  </si>
  <si>
    <t>City Lights</t>
  </si>
  <si>
    <t>1931</t>
  </si>
  <si>
    <t>Virginia Cherrill</t>
  </si>
  <si>
    <t>Florence Lee</t>
  </si>
  <si>
    <t>Harry Myers</t>
  </si>
  <si>
    <t>Singin' in the Rain</t>
  </si>
  <si>
    <t>Comedy, Musical, Romance</t>
  </si>
  <si>
    <t>Gene Kelly</t>
  </si>
  <si>
    <t>Donald O'Connor</t>
  </si>
  <si>
    <t>Debbie Reynolds</t>
  </si>
  <si>
    <t>The Godfather</t>
  </si>
  <si>
    <t>175 min</t>
  </si>
  <si>
    <t>Boyhood</t>
  </si>
  <si>
    <t>Ellar Coltrane</t>
  </si>
  <si>
    <t>Elijah Smith</t>
  </si>
  <si>
    <t>Rear Window</t>
  </si>
  <si>
    <t>Wendell Corey</t>
  </si>
  <si>
    <t>Thelma Ritter</t>
  </si>
  <si>
    <t>Il conformista</t>
  </si>
  <si>
    <t>Stefania Sandrelli</t>
  </si>
  <si>
    <t>Gastone Moschin</t>
  </si>
  <si>
    <t>Enzo Tarascio</t>
  </si>
  <si>
    <t>Casablanca</t>
  </si>
  <si>
    <t>1942</t>
  </si>
  <si>
    <t>Ingrid Bergman</t>
  </si>
  <si>
    <t>Paul Henreid</t>
  </si>
  <si>
    <t>Citizen Kane</t>
  </si>
  <si>
    <t>1941</t>
  </si>
  <si>
    <t>Joseph Cotten</t>
  </si>
  <si>
    <t>Dorothy Comingore</t>
  </si>
  <si>
    <t>Agnes Moorehead</t>
  </si>
  <si>
    <t>Notorious</t>
  </si>
  <si>
    <t>Drama, Film-Noir, Romance</t>
  </si>
  <si>
    <t>Louis Calhern</t>
  </si>
  <si>
    <t>Vertigo</t>
  </si>
  <si>
    <t>Mystery, Romance, Thriller</t>
  </si>
  <si>
    <t>Kim Novak</t>
  </si>
  <si>
    <t>Barbara Bel Geddes</t>
  </si>
  <si>
    <t>Tom Helmore</t>
  </si>
  <si>
    <t>Trois couleurs: Rouge</t>
  </si>
  <si>
    <t>Frédérique Feder</t>
  </si>
  <si>
    <t>Jean-Pierre Lorit</t>
  </si>
  <si>
    <t>Lawrence of Arabia</t>
  </si>
  <si>
    <t>228 min</t>
  </si>
  <si>
    <t>Anthony Quinn</t>
  </si>
  <si>
    <t>Fanny och Alexander</t>
  </si>
  <si>
    <t>Ingmar Bergman</t>
  </si>
  <si>
    <t>Bertil Guve</t>
  </si>
  <si>
    <t>Pernilla Allwin</t>
  </si>
  <si>
    <t>Kristina Adolphson</t>
  </si>
  <si>
    <t>Börje Ahlstedt</t>
  </si>
  <si>
    <t>Genre Distribution</t>
  </si>
  <si>
    <t>Count</t>
  </si>
  <si>
    <t>Thriller</t>
  </si>
  <si>
    <t>Romance</t>
  </si>
  <si>
    <t>Sci-Fi</t>
  </si>
  <si>
    <t>Fantasy</t>
  </si>
  <si>
    <t>Rating Distribution</t>
  </si>
  <si>
    <t>Rating Range</t>
  </si>
  <si>
    <t>7.5-7.8</t>
  </si>
  <si>
    <t>7.8-8.0</t>
  </si>
  <si>
    <t>8.0-8.2</t>
  </si>
  <si>
    <t>8.2-8.4</t>
  </si>
  <si>
    <t>8.4-8.6</t>
  </si>
  <si>
    <t>8.6-8.8</t>
  </si>
  <si>
    <t>8.8-9.0</t>
  </si>
  <si>
    <t>9.0-9.5</t>
  </si>
  <si>
    <t>Year Distribution</t>
  </si>
  <si>
    <t>Top 10 by Rating</t>
  </si>
  <si>
    <t>Movie</t>
  </si>
  <si>
    <t>Rating</t>
  </si>
  <si>
    <t>Genre Gross</t>
  </si>
  <si>
    <t>Total Gross</t>
  </si>
  <si>
    <t>Avg Gross</t>
  </si>
  <si>
    <t>Top 10 Gross</t>
  </si>
  <si>
    <t>Gross</t>
  </si>
  <si>
    <t>Director Counts</t>
  </si>
  <si>
    <t>Movies</t>
  </si>
  <si>
    <t>Star Appearances</t>
  </si>
  <si>
    <t>Star</t>
  </si>
  <si>
    <t>Appearances</t>
  </si>
  <si>
    <t>Certificate Distribution</t>
  </si>
  <si>
    <t>Runtime Distribution</t>
  </si>
  <si>
    <t>Runtime Range</t>
  </si>
  <si>
    <t>60-80</t>
  </si>
  <si>
    <t>80-100</t>
  </si>
  <si>
    <t>100-120</t>
  </si>
  <si>
    <t>120-140</t>
  </si>
  <si>
    <t>140-160</t>
  </si>
  <si>
    <t>160-180</t>
  </si>
  <si>
    <t>180-200</t>
  </si>
  <si>
    <t>200+</t>
  </si>
  <si>
    <t>Year Rating Trend</t>
  </si>
  <si>
    <t>Avg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</si>
</sst>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,,,\B"/>
    <numFmt numFmtId="165" formatCode="\$#,##0"/>
  </numFmts>
  <fonts count="39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sz val="9"/>
      <color rgb="FFAADDBB"/>
      <name val="Calibri"/>
      <charset val="1"/>
    </font>
    <font>
      <b/>
      <sz val="11"/>
      <color rgb="FF1B4332"/>
      <name val="Calibri"/>
      <charset val="1"/>
    </font>
    <font>
      <sz val="11"/>
      <color rgb="FF000000"/>
      <name val="Calibri"/>
      <charset val="1"/>
    </font>
    <font>
      <b/>
      <sz val="9"/>
      <color rgb="FF333333"/>
      <name val="Calibri"/>
      <charset val="1"/>
    </font>
    <font>
      <b/>
      <sz val="14"/>
      <color rgb="FF1B4332"/>
      <name val="Calibri"/>
      <charset val="1"/>
    </font>
    <font>
      <b/>
      <sz val="14"/>
      <color rgb="FFB71C1C"/>
      <name val="Calibri"/>
      <charset val="1"/>
    </font>
    <font>
      <b/>
      <sz val="14"/>
      <color rgb="FF0D47A1"/>
      <name val="Calibri"/>
      <charset val="1"/>
    </font>
    <font>
      <b/>
      <sz val="14"/>
      <color rgb="FF4A148C"/>
      <name val="Calibri"/>
      <charset val="1"/>
    </font>
    <font>
      <b/>
      <sz val="10"/>
      <color rgb="FF1B4332"/>
      <name val="Calibri"/>
      <charset val="1"/>
    </font>
    <font>
      <b/>
      <sz val="12"/>
      <color rgb="FF1A3C5E"/>
      <name val="Calibri"/>
      <charset val="1"/>
    </font>
    <font>
      <b/>
      <sz val="12"/>
      <color rgb="FF8B6914"/>
      <name val="Calibri"/>
      <charset val="1"/>
    </font>
    <font>
      <b/>
      <sz val="11"/>
      <color rgb="FF1A3C5E"/>
      <name val="Calibri"/>
      <charset val="1"/>
    </font>
    <font>
      <b/>
      <sz val="9"/>
      <color rgb="FF1B4332"/>
      <name val="Calibri"/>
      <charset val="1"/>
    </font>
    <font>
      <b/>
      <i/>
      <sz val="10"/>
      <color rgb="FF1A6B3C"/>
      <name val="Calibri"/>
      <charset val="1"/>
    </font>
    <font>
      <i/>
      <sz val="8"/>
      <color rgb="FF888888"/>
      <name val="Calibri"/>
      <charset val="1"/>
    </font>
    <font>
      <b/>
      <sz val="9"/>
      <color rgb="FF1A3C5E"/>
      <name val="Calibri"/>
      <charset val="1"/>
    </font>
    <font>
      <sz val="9"/>
      <color rgb="FFAACCEE"/>
      <name val="Calibri"/>
      <charset val="1"/>
    </font>
    <font>
      <b/>
      <sz val="16"/>
      <color rgb="FF1A6B3C"/>
      <name val="Calibri"/>
      <charset val="1"/>
    </font>
    <font>
      <b/>
      <sz val="16"/>
      <color rgb="FFC0392B"/>
      <name val="Calibri"/>
      <charset val="1"/>
    </font>
    <font>
      <b/>
      <sz val="16"/>
      <color rgb="FF6C3483"/>
      <name val="Calibri"/>
      <charset val="1"/>
    </font>
    <font>
      <b/>
      <sz val="16"/>
      <color rgb="FF8B4513"/>
      <name val="Calibri"/>
      <charset val="1"/>
    </font>
    <font>
      <sz val="10"/>
      <color rgb="FF2E86AB"/>
      <name val="Calibri"/>
      <charset val="1"/>
    </font>
    <font>
      <sz val="9"/>
      <color rgb="FFCCAAEE"/>
      <name val="Calibri"/>
      <charset val="1"/>
    </font>
    <font>
      <b/>
      <sz val="11"/>
      <color rgb="FF4A148C"/>
      <name val="Calibri"/>
      <charset val="1"/>
    </font>
    <font>
      <b/>
      <sz val="14"/>
      <color rgb="FF6C3483"/>
      <name val="Calibri"/>
      <charset val="1"/>
    </font>
    <font>
      <b/>
      <sz val="14"/>
      <color rgb="FF2E86AB"/>
      <name val="Calibri"/>
      <charset val="1"/>
    </font>
    <font>
      <b/>
      <sz val="14"/>
      <color rgb="FFE07B39"/>
      <name val="Calibri"/>
      <charset val="1"/>
    </font>
    <font>
      <b/>
      <sz val="14"/>
      <color rgb="FF1A6B3C"/>
      <name val="Calibri"/>
      <charset val="1"/>
    </font>
    <font>
      <b/>
      <sz val="10"/>
      <color rgb="FF1A3C5E"/>
      <name val="Calibri"/>
      <charset val="1"/>
    </font>
    <font>
      <b/>
      <sz val="11"/>
      <color rgb="FF1A6B3C"/>
      <name val="Calibri"/>
      <charset val="1"/>
    </font>
    <font>
      <b/>
      <sz val="10"/>
      <color rgb="FF1A6B3C"/>
      <name val="Calibri"/>
      <charset val="1"/>
    </font>
    <font>
      <b/>
      <sz val="14"/>
      <color rgb="FFF6AE2D"/>
      <name val="Calibri"/>
      <charset val="1"/>
    </font>
    <font>
      <b/>
      <sz val="10"/>
      <color rgb="FF8B6914"/>
      <name val="Calibri"/>
      <charset val="1"/>
    </font>
    <font>
      <b/>
      <sz val="11"/>
      <color rgb="FF8B6914"/>
      <name val="Calibri"/>
      <charset val="1"/>
    </font>
    <font>
      <b/>
      <sz val="10"/>
      <color rgb="FFFFFFFF"/>
      <name val="Calibri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</fonts>
  <fills count="24">
    <fill>
      <patternFill patternType="none"/>
    </fill>
    <fill>
      <patternFill patternType="gray125"/>
    </fill>
    <fill>
      <patternFill patternType="solid">
        <fgColor rgb="FF1B4332"/>
        <bgColor rgb="FF263238"/>
      </patternFill>
    </fill>
    <fill>
      <patternFill patternType="solid">
        <fgColor rgb="FFF5F5F5"/>
        <bgColor rgb="FFF0F4F8"/>
      </patternFill>
    </fill>
    <fill>
      <patternFill patternType="solid">
        <fgColor rgb="FF2D6A4F"/>
        <bgColor rgb="FF1A6B3C"/>
      </patternFill>
    </fill>
    <fill>
      <patternFill patternType="solid">
        <fgColor rgb="FFC62828"/>
        <bgColor rgb="FFB71C1C"/>
      </patternFill>
    </fill>
    <fill>
      <patternFill patternType="solid">
        <fgColor rgb="FF1565C0"/>
        <bgColor rgb="FF0D47A1"/>
      </patternFill>
    </fill>
    <fill>
      <patternFill patternType="solid">
        <fgColor rgb="FF6A1B9A"/>
        <bgColor rgb="FF4A148C"/>
      </patternFill>
    </fill>
    <fill>
      <patternFill patternType="solid">
        <fgColor rgb="FFE8F5E9"/>
        <bgColor rgb="FFEAF4FB"/>
      </patternFill>
    </fill>
    <fill>
      <patternFill patternType="solid">
        <fgColor rgb="FFFFEBEE"/>
        <bgColor rgb="FFFFF3E0"/>
      </patternFill>
    </fill>
    <fill>
      <patternFill patternType="solid">
        <fgColor rgb="FFE3F2FD"/>
        <bgColor rgb="FFEAF4FB"/>
      </patternFill>
    </fill>
    <fill>
      <patternFill patternType="solid">
        <fgColor rgb="FFF3E5F5"/>
        <bgColor rgb="FFFFEBEE"/>
      </patternFill>
    </fill>
    <fill>
      <patternFill patternType="solid">
        <fgColor rgb="FF2E86AB"/>
        <bgColor rgb="FF4299B0"/>
      </patternFill>
    </fill>
    <fill>
      <patternFill patternType="solid">
        <fgColor rgb="FFF6AE2D"/>
        <bgColor rgb="FFF8B590"/>
      </patternFill>
    </fill>
    <fill>
      <patternFill patternType="solid">
        <fgColor rgb="FFEAF4FB"/>
        <bgColor rgb="FFF0F4F8"/>
      </patternFill>
    </fill>
    <fill>
      <patternFill patternType="solid">
        <fgColor rgb="FFFFF8E7"/>
        <bgColor rgb="FFFFF3E0"/>
      </patternFill>
    </fill>
    <fill>
      <patternFill patternType="solid">
        <fgColor rgb="FFFFFFFF"/>
        <bgColor rgb="FFF9F9F9"/>
      </patternFill>
    </fill>
    <fill>
      <patternFill patternType="solid">
        <fgColor rgb="FF1A3C5E"/>
        <bgColor rgb="FF1B4332"/>
      </patternFill>
    </fill>
    <fill>
      <patternFill patternType="solid">
        <fgColor rgb="FFE07B39"/>
        <bgColor rgb="FFDC853E"/>
      </patternFill>
    </fill>
    <fill>
      <patternFill patternType="solid">
        <fgColor rgb="FFFFF3E0"/>
        <bgColor rgb="FFFFF8E7"/>
      </patternFill>
    </fill>
    <fill>
      <patternFill patternType="solid">
        <fgColor rgb="FF4A148C"/>
        <bgColor rgb="FF6A1B9A"/>
      </patternFill>
    </fill>
    <fill>
      <patternFill patternType="solid">
        <fgColor rgb="FF6C3483"/>
        <bgColor rgb="FF6A1B9A"/>
      </patternFill>
    </fill>
    <fill>
      <patternFill patternType="solid">
        <fgColor rgb="FF1A6B3C"/>
        <bgColor rgb="FF2D6A4F"/>
      </patternFill>
    </fill>
    <fill>
      <patternFill patternType="solid">
        <fgColor rgb="FF263238"/>
        <bgColor rgb="FF333333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2E86AB"/>
      </left>
      <right/>
      <top style="medium">
        <color theme="4"/>
      </top>
      <bottom style="medium">
        <color theme="4"/>
      </bottom>
      <diagonal/>
    </border>
    <border>
      <left style="medium">
        <color rgb="FF2E86AB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8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17" borderId="0" xfId="0" applyFill="1"/>
    <xf numFmtId="0" fontId="0" fillId="20" borderId="0" xfId="0" applyFill="1"/>
    <xf numFmtId="0" fontId="0" fillId="23" borderId="0" xfId="0" applyFill="1"/>
    <xf numFmtId="0" fontId="30" fillId="8" borderId="0" xfId="0" applyFont="1" applyFill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0" fontId="32" fillId="16" borderId="0" xfId="0" applyFont="1" applyFill="1" applyAlignment="1">
      <alignment horizontal="left" vertical="center"/>
    </xf>
    <xf numFmtId="0" fontId="30" fillId="15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left" vertical="center"/>
    </xf>
    <xf numFmtId="0" fontId="34" fillId="16" borderId="0" xfId="0" applyFont="1" applyFill="1" applyAlignment="1">
      <alignment horizontal="left" vertical="center"/>
    </xf>
    <xf numFmtId="0" fontId="36" fillId="17" borderId="0" xfId="0" applyFont="1" applyFill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0" fontId="37" fillId="0" borderId="0" xfId="0" applyFont="1"/>
    <xf numFmtId="0" fontId="38" fillId="17" borderId="0" xfId="0" applyFont="1" applyFill="1"/>
    <xf numFmtId="0" fontId="9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15" fillId="16" borderId="0" xfId="0" applyFont="1" applyFill="1" applyAlignment="1">
      <alignment horizontal="left" vertical="center"/>
    </xf>
    <xf numFmtId="0" fontId="16" fillId="16" borderId="0" xfId="0" applyFont="1" applyFill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2" fontId="20" fillId="15" borderId="1" xfId="0" applyNumberFormat="1" applyFont="1" applyFill="1" applyBorder="1" applyAlignment="1">
      <alignment horizontal="center" vertical="center"/>
    </xf>
    <xf numFmtId="164" fontId="21" fillId="11" borderId="1" xfId="0" applyNumberFormat="1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3" fontId="28" fillId="19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2" fontId="31" fillId="16" borderId="0" xfId="0" applyNumberFormat="1" applyFont="1" applyFill="1" applyAlignment="1">
      <alignment horizontal="left" vertical="center"/>
    </xf>
    <xf numFmtId="165" fontId="31" fillId="8" borderId="0" xfId="0" applyNumberFormat="1" applyFont="1" applyFill="1" applyAlignment="1">
      <alignment horizontal="left" vertical="center"/>
    </xf>
    <xf numFmtId="165" fontId="31" fillId="16" borderId="0" xfId="0" applyNumberFormat="1" applyFont="1" applyFill="1" applyAlignment="1">
      <alignment horizontal="left" vertical="center"/>
    </xf>
    <xf numFmtId="0" fontId="35" fillId="15" borderId="0" xfId="0" applyFont="1" applyFill="1" applyAlignment="1">
      <alignment horizontal="left" vertical="center"/>
    </xf>
    <xf numFmtId="0" fontId="35" fillId="16" borderId="0" xfId="0" applyFont="1" applyFill="1" applyAlignment="1">
      <alignment horizontal="left" vertical="center"/>
    </xf>
    <xf numFmtId="165" fontId="35" fillId="1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0" xfId="0" applyFill="1" applyBorder="1"/>
    <xf numFmtId="0" fontId="31" fillId="14" borderId="0" xfId="0" applyFont="1" applyFill="1" applyBorder="1" applyAlignment="1">
      <alignment horizontal="left" vertical="center"/>
    </xf>
    <xf numFmtId="0" fontId="31" fillId="16" borderId="0" xfId="0" applyFont="1" applyFill="1" applyBorder="1" applyAlignment="1">
      <alignment horizontal="left" vertical="center"/>
    </xf>
    <xf numFmtId="3" fontId="31" fillId="16" borderId="0" xfId="0" applyNumberFormat="1" applyFont="1" applyFill="1" applyBorder="1" applyAlignment="1">
      <alignment horizontal="left" vertical="center"/>
    </xf>
    <xf numFmtId="0" fontId="30" fillId="14" borderId="0" xfId="0" applyFont="1" applyFill="1" applyBorder="1" applyAlignment="1">
      <alignment horizontal="left" vertical="center"/>
    </xf>
    <xf numFmtId="0" fontId="30" fillId="16" borderId="0" xfId="0" applyFont="1" applyFill="1" applyBorder="1" applyAlignment="1">
      <alignment horizontal="left" vertical="center"/>
    </xf>
    <xf numFmtId="165" fontId="31" fillId="14" borderId="0" xfId="0" applyNumberFormat="1" applyFont="1" applyFill="1" applyBorder="1" applyAlignment="1">
      <alignment horizontal="left" vertical="center"/>
    </xf>
    <xf numFmtId="0" fontId="13" fillId="16" borderId="6" xfId="0" applyFont="1" applyFill="1" applyBorder="1" applyAlignment="1">
      <alignment horizontal="left" vertical="center"/>
    </xf>
    <xf numFmtId="0" fontId="13" fillId="16" borderId="7" xfId="0" applyFont="1" applyFill="1" applyBorder="1" applyAlignment="1">
      <alignment horizontal="left" vertical="center"/>
    </xf>
    <xf numFmtId="0" fontId="13" fillId="16" borderId="8" xfId="0" applyFont="1" applyFill="1" applyBorder="1" applyAlignment="1">
      <alignment horizontal="left" vertical="center"/>
    </xf>
    <xf numFmtId="0" fontId="13" fillId="16" borderId="9" xfId="0" applyFont="1" applyFill="1" applyBorder="1" applyAlignment="1">
      <alignment horizontal="left" vertical="center"/>
    </xf>
    <xf numFmtId="0" fontId="13" fillId="16" borderId="10" xfId="0" applyFont="1" applyFill="1" applyBorder="1" applyAlignment="1">
      <alignment horizontal="left" vertical="center"/>
    </xf>
    <xf numFmtId="1" fontId="33" fillId="16" borderId="5" xfId="0" applyNumberFormat="1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2828"/>
      <rgbColor rgb="FFF0F4F8"/>
      <rgbColor rgb="FF0000FF"/>
      <rgbColor rgb="FFFFEBEE"/>
      <rgbColor rgb="FFF3E5F5"/>
      <rgbColor rgb="FFAADDBB"/>
      <rgbColor rgb="FFB71C1C"/>
      <rgbColor rgb="FF006400"/>
      <rgbColor rgb="FF2D6A4F"/>
      <rgbColor rgb="FF8B6914"/>
      <rgbColor rgb="FF6A1B9A"/>
      <rgbColor rgb="FF2E86AB"/>
      <rgbColor rgb="FFCCCCCC"/>
      <rgbColor rgb="FF878787"/>
      <rgbColor rgb="FF93A9CE"/>
      <rgbColor rgb="FFAB4744"/>
      <rgbColor rgb="FFFFF8E7"/>
      <rgbColor rgb="FFE3F2FD"/>
      <rgbColor rgb="FF4A148C"/>
      <rgbColor rgb="FFE07B39"/>
      <rgbColor rgb="FF1565C0"/>
      <rgbColor rgb="FFD9D9D9"/>
      <rgbColor rgb="FF000080"/>
      <rgbColor rgb="FFF9F9F9"/>
      <rgbColor rgb="FFF5F5F5"/>
      <rgbColor rgb="FFA99BBD"/>
      <rgbColor rgb="FF800080"/>
      <rgbColor rgb="FFC0392B"/>
      <rgbColor rgb="FF1A6B3C"/>
      <rgbColor rgb="FF0000FF"/>
      <rgbColor rgb="FF4F81BD"/>
      <rgbColor rgb="FFEAF4FB"/>
      <rgbColor rgb="FFE8F5E9"/>
      <rgbColor rgb="FFFFF3E0"/>
      <rgbColor rgb="FFAACCEE"/>
      <rgbColor rgb="FFD09493"/>
      <rgbColor rgb="FFCCAAEE"/>
      <rgbColor rgb="FFF8B590"/>
      <rgbColor rgb="FF4672A8"/>
      <rgbColor rgb="FF92C3D5"/>
      <rgbColor rgb="FF8AA64F"/>
      <rgbColor rgb="FFB8CD97"/>
      <rgbColor rgb="FFF6AE2D"/>
      <rgbColor rgb="FFDC853E"/>
      <rgbColor rgb="FF725990"/>
      <rgbColor rgb="FF888888"/>
      <rgbColor rgb="FF1A3C5E"/>
      <rgbColor rgb="FF4299B0"/>
      <rgbColor rgb="FF1B4332"/>
      <rgbColor rgb="FF263238"/>
      <rgbColor rgb="FF8B4513"/>
      <rgbColor rgb="FF6C3483"/>
      <rgbColor rgb="FF0D47A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Movies Released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_HelperData!$B$26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1A3C5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_HelperData!$A$27:$A$66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_HelperData!$B$27:$B$66</c:f>
              <c:numCache>
                <c:formatCode>General</c:formatCode>
                <c:ptCount val="40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12</c:v>
                </c:pt>
                <c:pt idx="8">
                  <c:v>6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9</c:v>
                </c:pt>
                <c:pt idx="13">
                  <c:v>18</c:v>
                </c:pt>
                <c:pt idx="14">
                  <c:v>12</c:v>
                </c:pt>
                <c:pt idx="15">
                  <c:v>14</c:v>
                </c:pt>
                <c:pt idx="16">
                  <c:v>6</c:v>
                </c:pt>
                <c:pt idx="17">
                  <c:v>12</c:v>
                </c:pt>
                <c:pt idx="18">
                  <c:v>14</c:v>
                </c:pt>
                <c:pt idx="19">
                  <c:v>14</c:v>
                </c:pt>
                <c:pt idx="20">
                  <c:v>16</c:v>
                </c:pt>
                <c:pt idx="21">
                  <c:v>24</c:v>
                </c:pt>
                <c:pt idx="22">
                  <c:v>15</c:v>
                </c:pt>
                <c:pt idx="23">
                  <c:v>17</c:v>
                </c:pt>
                <c:pt idx="24">
                  <c:v>27</c:v>
                </c:pt>
                <c:pt idx="25">
                  <c:v>13</c:v>
                </c:pt>
                <c:pt idx="26">
                  <c:v>20</c:v>
                </c:pt>
                <c:pt idx="27">
                  <c:v>21</c:v>
                </c:pt>
                <c:pt idx="28">
                  <c:v>17</c:v>
                </c:pt>
                <c:pt idx="29">
                  <c:v>22</c:v>
                </c:pt>
                <c:pt idx="30">
                  <c:v>18</c:v>
                </c:pt>
                <c:pt idx="31">
                  <c:v>14</c:v>
                </c:pt>
                <c:pt idx="32">
                  <c:v>14</c:v>
                </c:pt>
                <c:pt idx="33">
                  <c:v>22</c:v>
                </c:pt>
                <c:pt idx="34">
                  <c:v>28</c:v>
                </c:pt>
                <c:pt idx="35">
                  <c:v>18</c:v>
                </c:pt>
                <c:pt idx="36">
                  <c:v>19</c:v>
                </c:pt>
                <c:pt idx="37">
                  <c:v>17</c:v>
                </c:pt>
                <c:pt idx="38">
                  <c:v>12</c:v>
                </c:pt>
                <c:pt idx="3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C-4F03-9B74-724AAF676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74545"/>
        <c:axId val="40328386"/>
      </c:barChart>
      <c:catAx>
        <c:axId val="645745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28386"/>
        <c:crosses val="autoZero"/>
        <c:auto val="1"/>
        <c:lblAlgn val="ctr"/>
        <c:lblOffset val="100"/>
        <c:noMultiLvlLbl val="0"/>
      </c:catAx>
      <c:valAx>
        <c:axId val="40328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74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Genre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6AE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_HelperData!$A$3:$A$14</c:f>
              <c:strCache>
                <c:ptCount val="12"/>
                <c:pt idx="0">
                  <c:v>Drama</c:v>
                </c:pt>
                <c:pt idx="1">
                  <c:v>Adventure</c:v>
                </c:pt>
                <c:pt idx="2">
                  <c:v>Comedy</c:v>
                </c:pt>
                <c:pt idx="3">
                  <c:v>Action</c:v>
                </c:pt>
                <c:pt idx="4">
                  <c:v>Crime</c:v>
                </c:pt>
                <c:pt idx="5">
                  <c:v>Thriller</c:v>
                </c:pt>
                <c:pt idx="6">
                  <c:v>Biography</c:v>
                </c:pt>
                <c:pt idx="7">
                  <c:v>Romance</c:v>
                </c:pt>
                <c:pt idx="8">
                  <c:v>Mystery</c:v>
                </c:pt>
                <c:pt idx="9">
                  <c:v>Animation</c:v>
                </c:pt>
                <c:pt idx="10">
                  <c:v>Sci-Fi</c:v>
                </c:pt>
                <c:pt idx="11">
                  <c:v>Fantasy</c:v>
                </c:pt>
              </c:strCache>
            </c:strRef>
          </c:cat>
          <c:val>
            <c:numRef>
              <c:f>_HelperData!$B$3:$B$14</c:f>
              <c:numCache>
                <c:formatCode>General</c:formatCode>
                <c:ptCount val="12"/>
                <c:pt idx="0">
                  <c:v>474</c:v>
                </c:pt>
                <c:pt idx="1">
                  <c:v>156</c:v>
                </c:pt>
                <c:pt idx="2">
                  <c:v>154</c:v>
                </c:pt>
                <c:pt idx="3">
                  <c:v>134</c:v>
                </c:pt>
                <c:pt idx="4">
                  <c:v>134</c:v>
                </c:pt>
                <c:pt idx="5">
                  <c:v>93</c:v>
                </c:pt>
                <c:pt idx="6">
                  <c:v>85</c:v>
                </c:pt>
                <c:pt idx="7">
                  <c:v>83</c:v>
                </c:pt>
                <c:pt idx="8">
                  <c:v>63</c:v>
                </c:pt>
                <c:pt idx="9">
                  <c:v>58</c:v>
                </c:pt>
                <c:pt idx="10">
                  <c:v>54</c:v>
                </c:pt>
                <c:pt idx="1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D-4AC4-8E7F-6BB95076E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7058"/>
        <c:axId val="54550235"/>
      </c:barChart>
      <c:catAx>
        <c:axId val="82070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550235"/>
        <c:crosses val="autoZero"/>
        <c:auto val="1"/>
        <c:lblAlgn val="ctr"/>
        <c:lblOffset val="100"/>
        <c:noMultiLvlLbl val="0"/>
      </c:catAx>
      <c:valAx>
        <c:axId val="545502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7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IMDB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_HelperData!$B$16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07B3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_HelperData!$A$17:$A$24</c:f>
              <c:strCache>
                <c:ptCount val="8"/>
                <c:pt idx="0">
                  <c:v>7.5-7.8</c:v>
                </c:pt>
                <c:pt idx="1">
                  <c:v>7.8-8.0</c:v>
                </c:pt>
                <c:pt idx="2">
                  <c:v>8.0-8.2</c:v>
                </c:pt>
                <c:pt idx="3">
                  <c:v>8.2-8.4</c:v>
                </c:pt>
                <c:pt idx="4">
                  <c:v>8.4-8.6</c:v>
                </c:pt>
                <c:pt idx="5">
                  <c:v>8.6-8.8</c:v>
                </c:pt>
                <c:pt idx="6">
                  <c:v>8.8-9.0</c:v>
                </c:pt>
                <c:pt idx="7">
                  <c:v>9.0-9.5</c:v>
                </c:pt>
              </c:strCache>
            </c:strRef>
          </c:cat>
          <c:val>
            <c:numRef>
              <c:f>_HelperData!$B$17:$B$24</c:f>
              <c:numCache>
                <c:formatCode>General</c:formatCode>
                <c:ptCount val="8"/>
                <c:pt idx="0">
                  <c:v>315</c:v>
                </c:pt>
                <c:pt idx="1">
                  <c:v>166</c:v>
                </c:pt>
                <c:pt idx="2">
                  <c:v>96</c:v>
                </c:pt>
                <c:pt idx="3">
                  <c:v>51</c:v>
                </c:pt>
                <c:pt idx="4">
                  <c:v>27</c:v>
                </c:pt>
                <c:pt idx="5">
                  <c:v>10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3-4755-91AD-2D5072A1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61582"/>
        <c:axId val="22249267"/>
      </c:barChart>
      <c:catAx>
        <c:axId val="569615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Rating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49267"/>
        <c:crosses val="autoZero"/>
        <c:auto val="1"/>
        <c:lblAlgn val="ctr"/>
        <c:lblOffset val="100"/>
        <c:noMultiLvlLbl val="0"/>
      </c:catAx>
      <c:valAx>
        <c:axId val="22249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Movies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61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Movies by IMDB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_HelperData!$B$68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rgbClr val="1A6B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_HelperData!$A$69:$A$78</c:f>
              <c:strCache>
                <c:ptCount val="10"/>
                <c:pt idx="0">
                  <c:v>The Shawshank Redemption</c:v>
                </c:pt>
                <c:pt idx="1">
                  <c:v>The Godfather</c:v>
                </c:pt>
                <c:pt idx="2">
                  <c:v>The Dark Knight</c:v>
                </c:pt>
                <c:pt idx="3">
                  <c:v>The Godfather: Part II</c:v>
                </c:pt>
                <c:pt idx="4">
                  <c:v>12 Angry Men</c:v>
                </c:pt>
                <c:pt idx="5">
                  <c:v>Schindler's List</c:v>
                </c:pt>
                <c:pt idx="6">
                  <c:v>Pulp Fiction</c:v>
                </c:pt>
                <c:pt idx="7">
                  <c:v>The Lord of the Rings: The Return of the King</c:v>
                </c:pt>
                <c:pt idx="8">
                  <c:v>Fight Club</c:v>
                </c:pt>
                <c:pt idx="9">
                  <c:v>Inception</c:v>
                </c:pt>
              </c:strCache>
            </c:strRef>
          </c:cat>
          <c:val>
            <c:numRef>
              <c:f>_HelperData!$B$69:$B$78</c:f>
              <c:numCache>
                <c:formatCode>General</c:formatCode>
                <c:ptCount val="10"/>
                <c:pt idx="0">
                  <c:v>9.3000000000000007</c:v>
                </c:pt>
                <c:pt idx="1">
                  <c:v>9.1999999999999993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8.9</c:v>
                </c:pt>
                <c:pt idx="6">
                  <c:v>8.9</c:v>
                </c:pt>
                <c:pt idx="7">
                  <c:v>8.9</c:v>
                </c:pt>
                <c:pt idx="8">
                  <c:v>8.8000000000000007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D-402A-985E-A831DABD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21765"/>
        <c:axId val="64087218"/>
      </c:barChart>
      <c:catAx>
        <c:axId val="582217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087218"/>
        <c:crosses val="autoZero"/>
        <c:auto val="1"/>
        <c:lblAlgn val="ctr"/>
        <c:lblOffset val="100"/>
        <c:noMultiLvlLbl val="0"/>
      </c:catAx>
      <c:valAx>
        <c:axId val="640872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2217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Gross Revenue by Genre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_HelperData!$B$80</c:f>
              <c:strCache>
                <c:ptCount val="1"/>
                <c:pt idx="0">
                  <c:v>Total Gross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_HelperData!$A$81:$A$91</c:f>
              <c:strCache>
                <c:ptCount val="11"/>
                <c:pt idx="0">
                  <c:v>Action</c:v>
                </c:pt>
                <c:pt idx="1">
                  <c:v>Drama</c:v>
                </c:pt>
                <c:pt idx="2">
                  <c:v>Animation</c:v>
                </c:pt>
                <c:pt idx="3">
                  <c:v>Adventure</c:v>
                </c:pt>
                <c:pt idx="4">
                  <c:v>Biography</c:v>
                </c:pt>
                <c:pt idx="5">
                  <c:v>Comedy</c:v>
                </c:pt>
                <c:pt idx="6">
                  <c:v>Crime</c:v>
                </c:pt>
                <c:pt idx="7">
                  <c:v>Horror</c:v>
                </c:pt>
                <c:pt idx="8">
                  <c:v>Family</c:v>
                </c:pt>
                <c:pt idx="9">
                  <c:v>Mystery</c:v>
                </c:pt>
                <c:pt idx="10">
                  <c:v>Western</c:v>
                </c:pt>
              </c:strCache>
            </c:strRef>
          </c:cat>
          <c:val>
            <c:numRef>
              <c:f>_HelperData!$B$81:$B$91</c:f>
              <c:numCache>
                <c:formatCode>General</c:formatCode>
                <c:ptCount val="11"/>
                <c:pt idx="0">
                  <c:v>19457176732</c:v>
                </c:pt>
                <c:pt idx="1">
                  <c:v>8605498005</c:v>
                </c:pt>
                <c:pt idx="2">
                  <c:v>7598456071</c:v>
                </c:pt>
                <c:pt idx="3">
                  <c:v>5173134850</c:v>
                </c:pt>
                <c:pt idx="4">
                  <c:v>4655889153</c:v>
                </c:pt>
                <c:pt idx="5">
                  <c:v>4003289245</c:v>
                </c:pt>
                <c:pt idx="6">
                  <c:v>3075650380</c:v>
                </c:pt>
                <c:pt idx="7">
                  <c:v>656868704</c:v>
                </c:pt>
                <c:pt idx="8">
                  <c:v>439110554</c:v>
                </c:pt>
                <c:pt idx="9">
                  <c:v>265041904</c:v>
                </c:pt>
                <c:pt idx="10">
                  <c:v>37900000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8-46D0-9A61-9FB09433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65821"/>
        <c:axId val="33055874"/>
      </c:barChart>
      <c:catAx>
        <c:axId val="841658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Gross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055874"/>
        <c:crosses val="autoZero"/>
        <c:auto val="1"/>
        <c:lblAlgn val="ctr"/>
        <c:lblOffset val="100"/>
        <c:noMultiLvlLbl val="0"/>
      </c:catAx>
      <c:valAx>
        <c:axId val="330558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658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Movies by Gross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_HelperData!$B$93</c:f>
              <c:strCache>
                <c:ptCount val="1"/>
                <c:pt idx="0">
                  <c:v>Gross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_HelperData!$A$94:$A$103</c:f>
              <c:strCache>
                <c:ptCount val="10"/>
                <c:pt idx="0">
                  <c:v>Star Wars: Episode VII - The Force Awakens</c:v>
                </c:pt>
                <c:pt idx="1">
                  <c:v>Avengers: Endgame</c:v>
                </c:pt>
                <c:pt idx="2">
                  <c:v>Avatar</c:v>
                </c:pt>
                <c:pt idx="3">
                  <c:v>Avengers: Infinity War</c:v>
                </c:pt>
                <c:pt idx="4">
                  <c:v>Titanic</c:v>
                </c:pt>
                <c:pt idx="5">
                  <c:v>The Avengers</c:v>
                </c:pt>
                <c:pt idx="6">
                  <c:v>Incredibles 2</c:v>
                </c:pt>
                <c:pt idx="7">
                  <c:v>The Dark Knight</c:v>
                </c:pt>
                <c:pt idx="8">
                  <c:v>Rogue One</c:v>
                </c:pt>
                <c:pt idx="9">
                  <c:v>The Dark Knight Rises</c:v>
                </c:pt>
              </c:strCache>
            </c:strRef>
          </c:cat>
          <c:val>
            <c:numRef>
              <c:f>_HelperData!$B$94:$B$103</c:f>
              <c:numCache>
                <c:formatCode>General</c:formatCode>
                <c:ptCount val="10"/>
                <c:pt idx="0">
                  <c:v>936662225</c:v>
                </c:pt>
                <c:pt idx="1">
                  <c:v>858373000</c:v>
                </c:pt>
                <c:pt idx="2">
                  <c:v>760507625</c:v>
                </c:pt>
                <c:pt idx="3">
                  <c:v>678815482</c:v>
                </c:pt>
                <c:pt idx="4">
                  <c:v>659325379</c:v>
                </c:pt>
                <c:pt idx="5">
                  <c:v>623279547</c:v>
                </c:pt>
                <c:pt idx="6">
                  <c:v>608581744</c:v>
                </c:pt>
                <c:pt idx="7">
                  <c:v>534858444</c:v>
                </c:pt>
                <c:pt idx="8">
                  <c:v>532177324</c:v>
                </c:pt>
                <c:pt idx="9">
                  <c:v>448139099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4-4ABB-A666-D6A2C020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52048"/>
        <c:axId val="67483633"/>
      </c:barChart>
      <c:catAx>
        <c:axId val="653520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83633"/>
        <c:crosses val="autoZero"/>
        <c:auto val="1"/>
        <c:lblAlgn val="ctr"/>
        <c:lblOffset val="100"/>
        <c:noMultiLvlLbl val="0"/>
      </c:catAx>
      <c:valAx>
        <c:axId val="674836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52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Meta Score vs IMDB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Movies</c:v>
          </c:tx>
          <c:spPr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_ScatterData!$A$2:$A$101</c:f>
              <c:numCache>
                <c:formatCode>General</c:formatCode>
                <c:ptCount val="100"/>
                <c:pt idx="0">
                  <c:v>7.7</c:v>
                </c:pt>
                <c:pt idx="1">
                  <c:v>7.6</c:v>
                </c:pt>
                <c:pt idx="2">
                  <c:v>8</c:v>
                </c:pt>
                <c:pt idx="3">
                  <c:v>7.6</c:v>
                </c:pt>
                <c:pt idx="4">
                  <c:v>7.7</c:v>
                </c:pt>
                <c:pt idx="5">
                  <c:v>7.6</c:v>
                </c:pt>
                <c:pt idx="6">
                  <c:v>7.7</c:v>
                </c:pt>
                <c:pt idx="7">
                  <c:v>7.6</c:v>
                </c:pt>
                <c:pt idx="8">
                  <c:v>7.8</c:v>
                </c:pt>
                <c:pt idx="9">
                  <c:v>7.6</c:v>
                </c:pt>
                <c:pt idx="10">
                  <c:v>8</c:v>
                </c:pt>
                <c:pt idx="11">
                  <c:v>7.7</c:v>
                </c:pt>
                <c:pt idx="12">
                  <c:v>8.1</c:v>
                </c:pt>
                <c:pt idx="13">
                  <c:v>7.7</c:v>
                </c:pt>
                <c:pt idx="14">
                  <c:v>7.8</c:v>
                </c:pt>
                <c:pt idx="15">
                  <c:v>8</c:v>
                </c:pt>
                <c:pt idx="16">
                  <c:v>7.8</c:v>
                </c:pt>
                <c:pt idx="17">
                  <c:v>7.6</c:v>
                </c:pt>
                <c:pt idx="18">
                  <c:v>8</c:v>
                </c:pt>
                <c:pt idx="19">
                  <c:v>7.6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7.6</c:v>
                </c:pt>
                <c:pt idx="24">
                  <c:v>7.6</c:v>
                </c:pt>
                <c:pt idx="25">
                  <c:v>7.7</c:v>
                </c:pt>
                <c:pt idx="26">
                  <c:v>7.6</c:v>
                </c:pt>
                <c:pt idx="27">
                  <c:v>7.8</c:v>
                </c:pt>
                <c:pt idx="28">
                  <c:v>7.6</c:v>
                </c:pt>
                <c:pt idx="29">
                  <c:v>7.7</c:v>
                </c:pt>
                <c:pt idx="30">
                  <c:v>8</c:v>
                </c:pt>
                <c:pt idx="31">
                  <c:v>7.7</c:v>
                </c:pt>
                <c:pt idx="32">
                  <c:v>7.8</c:v>
                </c:pt>
                <c:pt idx="33">
                  <c:v>8.3000000000000007</c:v>
                </c:pt>
                <c:pt idx="34">
                  <c:v>7.8</c:v>
                </c:pt>
                <c:pt idx="35">
                  <c:v>7.7</c:v>
                </c:pt>
                <c:pt idx="36">
                  <c:v>7.8</c:v>
                </c:pt>
                <c:pt idx="37">
                  <c:v>7.9</c:v>
                </c:pt>
                <c:pt idx="38">
                  <c:v>7.6</c:v>
                </c:pt>
                <c:pt idx="39">
                  <c:v>7.6</c:v>
                </c:pt>
                <c:pt idx="40">
                  <c:v>7.6</c:v>
                </c:pt>
                <c:pt idx="41">
                  <c:v>7.6</c:v>
                </c:pt>
                <c:pt idx="42">
                  <c:v>8.5</c:v>
                </c:pt>
                <c:pt idx="43">
                  <c:v>8.1</c:v>
                </c:pt>
                <c:pt idx="44">
                  <c:v>7.8</c:v>
                </c:pt>
                <c:pt idx="45">
                  <c:v>8</c:v>
                </c:pt>
                <c:pt idx="46">
                  <c:v>7.8</c:v>
                </c:pt>
                <c:pt idx="47">
                  <c:v>8.1</c:v>
                </c:pt>
                <c:pt idx="48">
                  <c:v>8.3000000000000007</c:v>
                </c:pt>
                <c:pt idx="49">
                  <c:v>8</c:v>
                </c:pt>
                <c:pt idx="50">
                  <c:v>7.6</c:v>
                </c:pt>
                <c:pt idx="51">
                  <c:v>7.9</c:v>
                </c:pt>
                <c:pt idx="52">
                  <c:v>7.9</c:v>
                </c:pt>
                <c:pt idx="53">
                  <c:v>7.6</c:v>
                </c:pt>
                <c:pt idx="54">
                  <c:v>8.5</c:v>
                </c:pt>
                <c:pt idx="55">
                  <c:v>8.6</c:v>
                </c:pt>
                <c:pt idx="56">
                  <c:v>8</c:v>
                </c:pt>
                <c:pt idx="57">
                  <c:v>7.6</c:v>
                </c:pt>
                <c:pt idx="58">
                  <c:v>8</c:v>
                </c:pt>
                <c:pt idx="59">
                  <c:v>7.7</c:v>
                </c:pt>
                <c:pt idx="60">
                  <c:v>7.6</c:v>
                </c:pt>
                <c:pt idx="61">
                  <c:v>7.9</c:v>
                </c:pt>
                <c:pt idx="62">
                  <c:v>7.7</c:v>
                </c:pt>
                <c:pt idx="63">
                  <c:v>7.8</c:v>
                </c:pt>
                <c:pt idx="64">
                  <c:v>7.8</c:v>
                </c:pt>
                <c:pt idx="65">
                  <c:v>7.9</c:v>
                </c:pt>
                <c:pt idx="66">
                  <c:v>8.6</c:v>
                </c:pt>
                <c:pt idx="67">
                  <c:v>8</c:v>
                </c:pt>
                <c:pt idx="68">
                  <c:v>7.7</c:v>
                </c:pt>
                <c:pt idx="69">
                  <c:v>7.7</c:v>
                </c:pt>
                <c:pt idx="70">
                  <c:v>7.8</c:v>
                </c:pt>
                <c:pt idx="71">
                  <c:v>7.7</c:v>
                </c:pt>
                <c:pt idx="72">
                  <c:v>7.7</c:v>
                </c:pt>
                <c:pt idx="73">
                  <c:v>8</c:v>
                </c:pt>
                <c:pt idx="74">
                  <c:v>7.8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8.1999999999999993</c:v>
                </c:pt>
                <c:pt idx="79">
                  <c:v>7.6</c:v>
                </c:pt>
                <c:pt idx="80">
                  <c:v>8.5</c:v>
                </c:pt>
                <c:pt idx="81">
                  <c:v>7.8</c:v>
                </c:pt>
                <c:pt idx="82">
                  <c:v>7.6</c:v>
                </c:pt>
                <c:pt idx="83">
                  <c:v>8</c:v>
                </c:pt>
                <c:pt idx="84">
                  <c:v>8</c:v>
                </c:pt>
                <c:pt idx="85">
                  <c:v>7.7</c:v>
                </c:pt>
                <c:pt idx="86">
                  <c:v>8.1999999999999993</c:v>
                </c:pt>
                <c:pt idx="87">
                  <c:v>7.9</c:v>
                </c:pt>
                <c:pt idx="88">
                  <c:v>8</c:v>
                </c:pt>
                <c:pt idx="89">
                  <c:v>8.1</c:v>
                </c:pt>
                <c:pt idx="90">
                  <c:v>7.7</c:v>
                </c:pt>
                <c:pt idx="91">
                  <c:v>8.1</c:v>
                </c:pt>
                <c:pt idx="92">
                  <c:v>7.6</c:v>
                </c:pt>
                <c:pt idx="93">
                  <c:v>7.8</c:v>
                </c:pt>
                <c:pt idx="94">
                  <c:v>8.5</c:v>
                </c:pt>
                <c:pt idx="95">
                  <c:v>7.7</c:v>
                </c:pt>
                <c:pt idx="96">
                  <c:v>8</c:v>
                </c:pt>
                <c:pt idx="97">
                  <c:v>7.6</c:v>
                </c:pt>
                <c:pt idx="98">
                  <c:v>7.6</c:v>
                </c:pt>
                <c:pt idx="99">
                  <c:v>7.8</c:v>
                </c:pt>
              </c:numCache>
            </c:numRef>
          </c:xVal>
          <c:yVal>
            <c:numRef>
              <c:f>_ScatterData!$B$2:$B$101</c:f>
              <c:numCache>
                <c:formatCode>General</c:formatCode>
                <c:ptCount val="100"/>
                <c:pt idx="0">
                  <c:v>28</c:v>
                </c:pt>
                <c:pt idx="1">
                  <c:v>30</c:v>
                </c:pt>
                <c:pt idx="2">
                  <c:v>33</c:v>
                </c:pt>
                <c:pt idx="3">
                  <c:v>36</c:v>
                </c:pt>
                <c:pt idx="4">
                  <c:v>40</c:v>
                </c:pt>
                <c:pt idx="5">
                  <c:v>41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51</c:v>
                </c:pt>
                <c:pt idx="22">
                  <c:v>51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53</c:v>
                </c:pt>
                <c:pt idx="27">
                  <c:v>53</c:v>
                </c:pt>
                <c:pt idx="28">
                  <c:v>53</c:v>
                </c:pt>
                <c:pt idx="29">
                  <c:v>53</c:v>
                </c:pt>
                <c:pt idx="30">
                  <c:v>54</c:v>
                </c:pt>
                <c:pt idx="31">
                  <c:v>54</c:v>
                </c:pt>
                <c:pt idx="32">
                  <c:v>55</c:v>
                </c:pt>
                <c:pt idx="33">
                  <c:v>55</c:v>
                </c:pt>
                <c:pt idx="34">
                  <c:v>55</c:v>
                </c:pt>
                <c:pt idx="35">
                  <c:v>55</c:v>
                </c:pt>
                <c:pt idx="36">
                  <c:v>55</c:v>
                </c:pt>
                <c:pt idx="37">
                  <c:v>56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58</c:v>
                </c:pt>
                <c:pt idx="46">
                  <c:v>58</c:v>
                </c:pt>
                <c:pt idx="47">
                  <c:v>58</c:v>
                </c:pt>
                <c:pt idx="48">
                  <c:v>58</c:v>
                </c:pt>
                <c:pt idx="49">
                  <c:v>58</c:v>
                </c:pt>
                <c:pt idx="50">
                  <c:v>58</c:v>
                </c:pt>
                <c:pt idx="51">
                  <c:v>58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</c:v>
                </c:pt>
                <c:pt idx="56">
                  <c:v>59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61</c:v>
                </c:pt>
                <c:pt idx="64">
                  <c:v>61</c:v>
                </c:pt>
                <c:pt idx="65">
                  <c:v>61</c:v>
                </c:pt>
                <c:pt idx="66">
                  <c:v>61</c:v>
                </c:pt>
                <c:pt idx="67">
                  <c:v>61</c:v>
                </c:pt>
                <c:pt idx="68">
                  <c:v>61</c:v>
                </c:pt>
                <c:pt idx="69">
                  <c:v>61</c:v>
                </c:pt>
                <c:pt idx="70">
                  <c:v>61</c:v>
                </c:pt>
                <c:pt idx="71">
                  <c:v>62</c:v>
                </c:pt>
                <c:pt idx="72">
                  <c:v>62</c:v>
                </c:pt>
                <c:pt idx="73">
                  <c:v>62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62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64</c:v>
                </c:pt>
                <c:pt idx="88">
                  <c:v>64</c:v>
                </c:pt>
                <c:pt idx="89">
                  <c:v>64</c:v>
                </c:pt>
                <c:pt idx="90">
                  <c:v>64</c:v>
                </c:pt>
                <c:pt idx="91">
                  <c:v>64</c:v>
                </c:pt>
                <c:pt idx="92">
                  <c:v>64</c:v>
                </c:pt>
                <c:pt idx="93">
                  <c:v>64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65</c:v>
                </c:pt>
                <c:pt idx="99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F1-46F1-9449-98D6881F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73342"/>
        <c:axId val="13967304"/>
      </c:scatterChart>
      <c:valAx>
        <c:axId val="578733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IMDB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67304"/>
        <c:crosses val="autoZero"/>
        <c:crossBetween val="midCat"/>
      </c:valAx>
      <c:valAx>
        <c:axId val="13967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Meta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733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Gross Revenue by Genre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_HelperData!$C$80</c:f>
              <c:strCache>
                <c:ptCount val="1"/>
                <c:pt idx="0">
                  <c:v>Avg Gross</c:v>
                </c:pt>
              </c:strCache>
            </c:strRef>
          </c:tx>
          <c:spPr>
            <a:solidFill>
              <a:srgbClr val="E07B3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_HelperData!$A$81:$A$91</c:f>
              <c:strCache>
                <c:ptCount val="11"/>
                <c:pt idx="0">
                  <c:v>Action</c:v>
                </c:pt>
                <c:pt idx="1">
                  <c:v>Drama</c:v>
                </c:pt>
                <c:pt idx="2">
                  <c:v>Animation</c:v>
                </c:pt>
                <c:pt idx="3">
                  <c:v>Adventure</c:v>
                </c:pt>
                <c:pt idx="4">
                  <c:v>Biography</c:v>
                </c:pt>
                <c:pt idx="5">
                  <c:v>Comedy</c:v>
                </c:pt>
                <c:pt idx="6">
                  <c:v>Crime</c:v>
                </c:pt>
                <c:pt idx="7">
                  <c:v>Horror</c:v>
                </c:pt>
                <c:pt idx="8">
                  <c:v>Family</c:v>
                </c:pt>
                <c:pt idx="9">
                  <c:v>Mystery</c:v>
                </c:pt>
                <c:pt idx="10">
                  <c:v>Western</c:v>
                </c:pt>
              </c:strCache>
            </c:strRef>
          </c:cat>
          <c:val>
            <c:numRef>
              <c:f>_HelperData!$C$81:$C$91</c:f>
              <c:numCache>
                <c:formatCode>General</c:formatCode>
                <c:ptCount val="11"/>
                <c:pt idx="0">
                  <c:v>160803113.48760301</c:v>
                </c:pt>
                <c:pt idx="1">
                  <c:v>48894875.028409101</c:v>
                </c:pt>
                <c:pt idx="2">
                  <c:v>131007863.29310299</c:v>
                </c:pt>
                <c:pt idx="3">
                  <c:v>89191980.172413796</c:v>
                </c:pt>
                <c:pt idx="4">
                  <c:v>65575903.563380301</c:v>
                </c:pt>
                <c:pt idx="5">
                  <c:v>39636527.178217798</c:v>
                </c:pt>
                <c:pt idx="6">
                  <c:v>43937862.571428597</c:v>
                </c:pt>
                <c:pt idx="7">
                  <c:v>82108588</c:v>
                </c:pt>
                <c:pt idx="8">
                  <c:v>219555277</c:v>
                </c:pt>
                <c:pt idx="9">
                  <c:v>44173650.666666701</c:v>
                </c:pt>
                <c:pt idx="10">
                  <c:v>18950000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7-41C9-8E25-A89AE361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4855"/>
        <c:axId val="78261288"/>
      </c:barChart>
      <c:catAx>
        <c:axId val="187048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61288"/>
        <c:crosses val="autoZero"/>
        <c:auto val="1"/>
        <c:lblAlgn val="ctr"/>
        <c:lblOffset val="100"/>
        <c:noMultiLvlLbl val="0"/>
      </c:catAx>
      <c:valAx>
        <c:axId val="78261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04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12 Directors by Movie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_HelperData!$B$105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6C34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_HelperData!$A$106:$A$117</c:f>
              <c:strCache>
                <c:ptCount val="12"/>
                <c:pt idx="0">
                  <c:v>Steven Spielberg</c:v>
                </c:pt>
                <c:pt idx="1">
                  <c:v>Martin Scorsese</c:v>
                </c:pt>
                <c:pt idx="2">
                  <c:v>David Fincher</c:v>
                </c:pt>
                <c:pt idx="3">
                  <c:v>Clint Eastwood</c:v>
                </c:pt>
                <c:pt idx="4">
                  <c:v>Christopher Nolan</c:v>
                </c:pt>
                <c:pt idx="5">
                  <c:v>Quentin Tarantino</c:v>
                </c:pt>
                <c:pt idx="6">
                  <c:v>Alfred Hitchcock</c:v>
                </c:pt>
                <c:pt idx="7">
                  <c:v>Rob Reiner</c:v>
                </c:pt>
                <c:pt idx="8">
                  <c:v>Hayao Miyazaki</c:v>
                </c:pt>
                <c:pt idx="9">
                  <c:v>Stanley Kubrick</c:v>
                </c:pt>
                <c:pt idx="10">
                  <c:v>Woody Allen</c:v>
                </c:pt>
                <c:pt idx="11">
                  <c:v>Wes Anderson</c:v>
                </c:pt>
              </c:strCache>
            </c:strRef>
          </c:cat>
          <c:val>
            <c:numRef>
              <c:f>_HelperData!$B$106:$B$117</c:f>
              <c:numCache>
                <c:formatCode>General</c:formatCode>
                <c:ptCount val="12"/>
                <c:pt idx="0">
                  <c:v>13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0-47F3-AB5E-2DBC3A0E6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48869"/>
        <c:axId val="99631882"/>
      </c:barChart>
      <c:catAx>
        <c:axId val="4384886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631882"/>
        <c:crosses val="autoZero"/>
        <c:auto val="1"/>
        <c:lblAlgn val="ctr"/>
        <c:lblOffset val="100"/>
        <c:noMultiLvlLbl val="0"/>
      </c:catAx>
      <c:valAx>
        <c:axId val="996318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848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12 Stars by Appearances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_HelperData!$B$119</c:f>
              <c:strCache>
                <c:ptCount val="1"/>
                <c:pt idx="0">
                  <c:v>Appearances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_HelperData!$A$120:$A$131</c:f>
              <c:strCache>
                <c:ptCount val="12"/>
                <c:pt idx="0">
                  <c:v>Robert De Niro</c:v>
                </c:pt>
                <c:pt idx="1">
                  <c:v>Tom Hanks</c:v>
                </c:pt>
                <c:pt idx="2">
                  <c:v>Al Pacino</c:v>
                </c:pt>
                <c:pt idx="3">
                  <c:v>Brad Pitt</c:v>
                </c:pt>
                <c:pt idx="4">
                  <c:v>Christian Bale</c:v>
                </c:pt>
                <c:pt idx="5">
                  <c:v>Leonardo DiCaprio</c:v>
                </c:pt>
                <c:pt idx="6">
                  <c:v>Matt Damon</c:v>
                </c:pt>
                <c:pt idx="7">
                  <c:v>Johnny Depp</c:v>
                </c:pt>
                <c:pt idx="8">
                  <c:v>Denzel Washington</c:v>
                </c:pt>
                <c:pt idx="9">
                  <c:v>Ethan Hawke</c:v>
                </c:pt>
                <c:pt idx="10">
                  <c:v>Clint Eastwood</c:v>
                </c:pt>
                <c:pt idx="11">
                  <c:v>Scarlett Johansson</c:v>
                </c:pt>
              </c:strCache>
            </c:strRef>
          </c:cat>
          <c:val>
            <c:numRef>
              <c:f>_HelperData!$B$120:$B$131</c:f>
              <c:numCache>
                <c:formatCode>General</c:formatCode>
                <c:ptCount val="12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B-4326-AA19-08DBF83D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0434"/>
        <c:axId val="49346983"/>
      </c:barChart>
      <c:catAx>
        <c:axId val="609043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46983"/>
        <c:crosses val="autoZero"/>
        <c:auto val="1"/>
        <c:lblAlgn val="ctr"/>
        <c:lblOffset val="100"/>
        <c:noMultiLvlLbl val="0"/>
      </c:catAx>
      <c:valAx>
        <c:axId val="493469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0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Certificate Distribution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_HelperData!$B$133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5C-4D22-9BDD-17D6F6E4846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C-4D22-9BDD-17D6F6E4846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5C-4D22-9BDD-17D6F6E4846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5C-4D22-9BDD-17D6F6E4846E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5C-4D22-9BDD-17D6F6E4846E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5C-4D22-9BDD-17D6F6E4846E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5C-4D22-9BDD-17D6F6E4846E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5C-4D22-9BDD-17D6F6E4846E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5C-4D22-9BDD-17D6F6E4846E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05C-4D22-9BDD-17D6F6E4846E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05C-4D22-9BDD-17D6F6E4846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05C-4D22-9BDD-17D6F6E484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_HelperData!$A$134:$A$145</c:f>
              <c:strCache>
                <c:ptCount val="12"/>
                <c:pt idx="0">
                  <c:v>U</c:v>
                </c:pt>
                <c:pt idx="1">
                  <c:v>A</c:v>
                </c:pt>
                <c:pt idx="2">
                  <c:v>UA</c:v>
                </c:pt>
                <c:pt idx="3">
                  <c:v>R</c:v>
                </c:pt>
                <c:pt idx="4">
                  <c:v>PG-13</c:v>
                </c:pt>
                <c:pt idx="5">
                  <c:v>PG</c:v>
                </c:pt>
                <c:pt idx="6">
                  <c:v>Passed</c:v>
                </c:pt>
                <c:pt idx="7">
                  <c:v>G</c:v>
                </c:pt>
                <c:pt idx="8">
                  <c:v>Approved</c:v>
                </c:pt>
                <c:pt idx="9">
                  <c:v>GP</c:v>
                </c:pt>
                <c:pt idx="10">
                  <c:v>U/A</c:v>
                </c:pt>
                <c:pt idx="11">
                  <c:v>TV-PG</c:v>
                </c:pt>
              </c:strCache>
            </c:strRef>
          </c:cat>
          <c:val>
            <c:numRef>
              <c:f>_HelperData!$B$134:$B$145</c:f>
              <c:numCache>
                <c:formatCode>General</c:formatCode>
                <c:ptCount val="12"/>
                <c:pt idx="0">
                  <c:v>172</c:v>
                </c:pt>
                <c:pt idx="1">
                  <c:v>166</c:v>
                </c:pt>
                <c:pt idx="2">
                  <c:v>136</c:v>
                </c:pt>
                <c:pt idx="3">
                  <c:v>119</c:v>
                </c:pt>
                <c:pt idx="4">
                  <c:v>38</c:v>
                </c:pt>
                <c:pt idx="5">
                  <c:v>18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5C-4D22-9BDD-17D6F6E48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Runtime Distribution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_HelperData!$B$147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07B3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_HelperData!$A$148:$A$155</c:f>
              <c:strCache>
                <c:ptCount val="8"/>
                <c:pt idx="0">
                  <c:v>60-80</c:v>
                </c:pt>
                <c:pt idx="1">
                  <c:v>80-100</c:v>
                </c:pt>
                <c:pt idx="2">
                  <c:v>100-120</c:v>
                </c:pt>
                <c:pt idx="3">
                  <c:v>120-140</c:v>
                </c:pt>
                <c:pt idx="4">
                  <c:v>140-160</c:v>
                </c:pt>
                <c:pt idx="5">
                  <c:v>160-180</c:v>
                </c:pt>
                <c:pt idx="6">
                  <c:v>180-200</c:v>
                </c:pt>
                <c:pt idx="7">
                  <c:v>200+</c:v>
                </c:pt>
              </c:strCache>
            </c:strRef>
          </c:cat>
          <c:val>
            <c:numRef>
              <c:f>_HelperData!$B$148:$B$155</c:f>
              <c:numCache>
                <c:formatCode>General</c:formatCode>
                <c:ptCount val="8"/>
                <c:pt idx="0">
                  <c:v>6</c:v>
                </c:pt>
                <c:pt idx="1">
                  <c:v>109</c:v>
                </c:pt>
                <c:pt idx="2">
                  <c:v>223</c:v>
                </c:pt>
                <c:pt idx="3">
                  <c:v>188</c:v>
                </c:pt>
                <c:pt idx="4">
                  <c:v>82</c:v>
                </c:pt>
                <c:pt idx="5">
                  <c:v>40</c:v>
                </c:pt>
                <c:pt idx="6">
                  <c:v>17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E-48F8-B40F-C93B31F26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65476"/>
        <c:axId val="64305142"/>
      </c:barChart>
      <c:catAx>
        <c:axId val="400654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305142"/>
        <c:crosses val="autoZero"/>
        <c:auto val="1"/>
        <c:lblAlgn val="ctr"/>
        <c:lblOffset val="100"/>
        <c:noMultiLvlLbl val="0"/>
      </c:catAx>
      <c:valAx>
        <c:axId val="64305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65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Rating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_HelperData!$B$157</c:f>
              <c:strCache>
                <c:ptCount val="1"/>
                <c:pt idx="0">
                  <c:v>Avg Rating</c:v>
                </c:pt>
              </c:strCache>
            </c:strRef>
          </c:tx>
          <c:spPr>
            <a:ln w="20160">
              <a:solidFill>
                <a:srgbClr val="1A3C5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_HelperData!$A$158:$A$238</c:f>
              <c:numCache>
                <c:formatCode>General</c:formatCode>
                <c:ptCount val="81"/>
                <c:pt idx="0">
                  <c:v>1930</c:v>
                </c:pt>
                <c:pt idx="1">
                  <c:v>1931</c:v>
                </c:pt>
                <c:pt idx="2">
                  <c:v>1933</c:v>
                </c:pt>
                <c:pt idx="3">
                  <c:v>1934</c:v>
                </c:pt>
                <c:pt idx="4">
                  <c:v>1936</c:v>
                </c:pt>
                <c:pt idx="5">
                  <c:v>1938</c:v>
                </c:pt>
                <c:pt idx="6">
                  <c:v>1939</c:v>
                </c:pt>
                <c:pt idx="7">
                  <c:v>1940</c:v>
                </c:pt>
                <c:pt idx="8">
                  <c:v>1941</c:v>
                </c:pt>
                <c:pt idx="9">
                  <c:v>1942</c:v>
                </c:pt>
                <c:pt idx="10">
                  <c:v>1944</c:v>
                </c:pt>
                <c:pt idx="11">
                  <c:v>1946</c:v>
                </c:pt>
                <c:pt idx="12">
                  <c:v>1948</c:v>
                </c:pt>
                <c:pt idx="13">
                  <c:v>1950</c:v>
                </c:pt>
                <c:pt idx="14">
                  <c:v>1951</c:v>
                </c:pt>
                <c:pt idx="15">
                  <c:v>1952</c:v>
                </c:pt>
                <c:pt idx="16">
                  <c:v>1953</c:v>
                </c:pt>
                <c:pt idx="17">
                  <c:v>1954</c:v>
                </c:pt>
                <c:pt idx="18">
                  <c:v>1957</c:v>
                </c:pt>
                <c:pt idx="19">
                  <c:v>1958</c:v>
                </c:pt>
                <c:pt idx="20">
                  <c:v>1959</c:v>
                </c:pt>
                <c:pt idx="21">
                  <c:v>1960</c:v>
                </c:pt>
                <c:pt idx="22">
                  <c:v>1961</c:v>
                </c:pt>
                <c:pt idx="23">
                  <c:v>1962</c:v>
                </c:pt>
                <c:pt idx="24">
                  <c:v>1963</c:v>
                </c:pt>
                <c:pt idx="25">
                  <c:v>1964</c:v>
                </c:pt>
                <c:pt idx="26">
                  <c:v>1965</c:v>
                </c:pt>
                <c:pt idx="27">
                  <c:v>1966</c:v>
                </c:pt>
                <c:pt idx="28">
                  <c:v>1967</c:v>
                </c:pt>
                <c:pt idx="29">
                  <c:v>1968</c:v>
                </c:pt>
                <c:pt idx="30">
                  <c:v>1969</c:v>
                </c:pt>
                <c:pt idx="31">
                  <c:v>1970</c:v>
                </c:pt>
                <c:pt idx="32">
                  <c:v>1971</c:v>
                </c:pt>
                <c:pt idx="33">
                  <c:v>1972</c:v>
                </c:pt>
                <c:pt idx="34">
                  <c:v>1973</c:v>
                </c:pt>
                <c:pt idx="35">
                  <c:v>1974</c:v>
                </c:pt>
                <c:pt idx="36">
                  <c:v>1975</c:v>
                </c:pt>
                <c:pt idx="37">
                  <c:v>1976</c:v>
                </c:pt>
                <c:pt idx="38">
                  <c:v>1977</c:v>
                </c:pt>
                <c:pt idx="39">
                  <c:v>1978</c:v>
                </c:pt>
                <c:pt idx="40">
                  <c:v>1979</c:v>
                </c:pt>
                <c:pt idx="41">
                  <c:v>1980</c:v>
                </c:pt>
                <c:pt idx="42">
                  <c:v>1981</c:v>
                </c:pt>
                <c:pt idx="43">
                  <c:v>1982</c:v>
                </c:pt>
                <c:pt idx="44">
                  <c:v>1983</c:v>
                </c:pt>
                <c:pt idx="45">
                  <c:v>1984</c:v>
                </c:pt>
                <c:pt idx="46">
                  <c:v>1985</c:v>
                </c:pt>
                <c:pt idx="47">
                  <c:v>1986</c:v>
                </c:pt>
                <c:pt idx="48">
                  <c:v>1987</c:v>
                </c:pt>
                <c:pt idx="49">
                  <c:v>1988</c:v>
                </c:pt>
                <c:pt idx="50">
                  <c:v>1989</c:v>
                </c:pt>
                <c:pt idx="51">
                  <c:v>1990</c:v>
                </c:pt>
                <c:pt idx="52">
                  <c:v>1991</c:v>
                </c:pt>
                <c:pt idx="53">
                  <c:v>1992</c:v>
                </c:pt>
                <c:pt idx="54">
                  <c:v>1993</c:v>
                </c:pt>
                <c:pt idx="55">
                  <c:v>1994</c:v>
                </c:pt>
                <c:pt idx="56">
                  <c:v>1995</c:v>
                </c:pt>
                <c:pt idx="57">
                  <c:v>1996</c:v>
                </c:pt>
                <c:pt idx="58">
                  <c:v>1997</c:v>
                </c:pt>
                <c:pt idx="59">
                  <c:v>1998</c:v>
                </c:pt>
                <c:pt idx="60">
                  <c:v>1999</c:v>
                </c:pt>
                <c:pt idx="61">
                  <c:v>2000</c:v>
                </c:pt>
                <c:pt idx="62">
                  <c:v>2001</c:v>
                </c:pt>
                <c:pt idx="63">
                  <c:v>2002</c:v>
                </c:pt>
                <c:pt idx="64">
                  <c:v>2003</c:v>
                </c:pt>
                <c:pt idx="65">
                  <c:v>2004</c:v>
                </c:pt>
                <c:pt idx="66">
                  <c:v>2005</c:v>
                </c:pt>
                <c:pt idx="67">
                  <c:v>2006</c:v>
                </c:pt>
                <c:pt idx="68">
                  <c:v>2007</c:v>
                </c:pt>
                <c:pt idx="69">
                  <c:v>2008</c:v>
                </c:pt>
                <c:pt idx="70">
                  <c:v>2009</c:v>
                </c:pt>
                <c:pt idx="71">
                  <c:v>2010</c:v>
                </c:pt>
                <c:pt idx="72">
                  <c:v>2011</c:v>
                </c:pt>
                <c:pt idx="73">
                  <c:v>2012</c:v>
                </c:pt>
                <c:pt idx="74">
                  <c:v>2013</c:v>
                </c:pt>
                <c:pt idx="75">
                  <c:v>2014</c:v>
                </c:pt>
                <c:pt idx="76">
                  <c:v>2015</c:v>
                </c:pt>
                <c:pt idx="77">
                  <c:v>2016</c:v>
                </c:pt>
                <c:pt idx="78">
                  <c:v>2017</c:v>
                </c:pt>
                <c:pt idx="79">
                  <c:v>2018</c:v>
                </c:pt>
                <c:pt idx="80">
                  <c:v>2019</c:v>
                </c:pt>
              </c:numCache>
            </c:numRef>
          </c:cat>
          <c:val>
            <c:numRef>
              <c:f>_HelperData!$B$158:$B$238</c:f>
              <c:numCache>
                <c:formatCode>General</c:formatCode>
                <c:ptCount val="81"/>
                <c:pt idx="0">
                  <c:v>8</c:v>
                </c:pt>
                <c:pt idx="1">
                  <c:v>8.5</c:v>
                </c:pt>
                <c:pt idx="2">
                  <c:v>7.9</c:v>
                </c:pt>
                <c:pt idx="3">
                  <c:v>8.1</c:v>
                </c:pt>
                <c:pt idx="4">
                  <c:v>8.5</c:v>
                </c:pt>
                <c:pt idx="5">
                  <c:v>7.9</c:v>
                </c:pt>
                <c:pt idx="6">
                  <c:v>8.07</c:v>
                </c:pt>
                <c:pt idx="7">
                  <c:v>8</c:v>
                </c:pt>
                <c:pt idx="8">
                  <c:v>8.3000000000000007</c:v>
                </c:pt>
                <c:pt idx="9">
                  <c:v>8.5</c:v>
                </c:pt>
                <c:pt idx="10">
                  <c:v>8.3000000000000007</c:v>
                </c:pt>
                <c:pt idx="11">
                  <c:v>7.95</c:v>
                </c:pt>
                <c:pt idx="12">
                  <c:v>8.1999999999999993</c:v>
                </c:pt>
                <c:pt idx="13">
                  <c:v>8.1999999999999993</c:v>
                </c:pt>
                <c:pt idx="14">
                  <c:v>7.92</c:v>
                </c:pt>
                <c:pt idx="15">
                  <c:v>8.1</c:v>
                </c:pt>
                <c:pt idx="16">
                  <c:v>7.6</c:v>
                </c:pt>
                <c:pt idx="17">
                  <c:v>8.23</c:v>
                </c:pt>
                <c:pt idx="18">
                  <c:v>8.5500000000000007</c:v>
                </c:pt>
                <c:pt idx="19">
                  <c:v>8.1</c:v>
                </c:pt>
                <c:pt idx="20">
                  <c:v>8.15</c:v>
                </c:pt>
                <c:pt idx="21">
                  <c:v>8.08</c:v>
                </c:pt>
                <c:pt idx="22">
                  <c:v>7.8</c:v>
                </c:pt>
                <c:pt idx="23">
                  <c:v>8.07</c:v>
                </c:pt>
                <c:pt idx="24">
                  <c:v>7.93</c:v>
                </c:pt>
                <c:pt idx="25">
                  <c:v>7.86</c:v>
                </c:pt>
                <c:pt idx="26">
                  <c:v>8</c:v>
                </c:pt>
                <c:pt idx="27">
                  <c:v>8.25</c:v>
                </c:pt>
                <c:pt idx="28">
                  <c:v>7.9</c:v>
                </c:pt>
                <c:pt idx="29">
                  <c:v>8</c:v>
                </c:pt>
                <c:pt idx="30">
                  <c:v>7.9</c:v>
                </c:pt>
                <c:pt idx="31">
                  <c:v>7.83</c:v>
                </c:pt>
                <c:pt idx="32">
                  <c:v>7.85</c:v>
                </c:pt>
                <c:pt idx="33">
                  <c:v>8.27</c:v>
                </c:pt>
                <c:pt idx="34">
                  <c:v>7.92</c:v>
                </c:pt>
                <c:pt idx="35">
                  <c:v>8.1199999999999992</c:v>
                </c:pt>
                <c:pt idx="36">
                  <c:v>8.2200000000000006</c:v>
                </c:pt>
                <c:pt idx="37">
                  <c:v>7.96</c:v>
                </c:pt>
                <c:pt idx="38">
                  <c:v>7.8</c:v>
                </c:pt>
                <c:pt idx="39">
                  <c:v>7.82</c:v>
                </c:pt>
                <c:pt idx="40">
                  <c:v>7.93</c:v>
                </c:pt>
                <c:pt idx="41">
                  <c:v>8.1</c:v>
                </c:pt>
                <c:pt idx="42">
                  <c:v>7.98</c:v>
                </c:pt>
                <c:pt idx="43">
                  <c:v>7.96</c:v>
                </c:pt>
                <c:pt idx="44">
                  <c:v>8.08</c:v>
                </c:pt>
                <c:pt idx="45">
                  <c:v>7.95</c:v>
                </c:pt>
                <c:pt idx="46">
                  <c:v>7.92</c:v>
                </c:pt>
                <c:pt idx="47">
                  <c:v>7.92</c:v>
                </c:pt>
                <c:pt idx="48">
                  <c:v>7.84</c:v>
                </c:pt>
                <c:pt idx="49">
                  <c:v>8.0299999999999994</c:v>
                </c:pt>
                <c:pt idx="50">
                  <c:v>7.88</c:v>
                </c:pt>
                <c:pt idx="51">
                  <c:v>7.89</c:v>
                </c:pt>
                <c:pt idx="52">
                  <c:v>7.92</c:v>
                </c:pt>
                <c:pt idx="53">
                  <c:v>7.84</c:v>
                </c:pt>
                <c:pt idx="54">
                  <c:v>7.91</c:v>
                </c:pt>
                <c:pt idx="55">
                  <c:v>8.24</c:v>
                </c:pt>
                <c:pt idx="56">
                  <c:v>8.02</c:v>
                </c:pt>
                <c:pt idx="57">
                  <c:v>7.88</c:v>
                </c:pt>
                <c:pt idx="58">
                  <c:v>8.02</c:v>
                </c:pt>
                <c:pt idx="59">
                  <c:v>7.96</c:v>
                </c:pt>
                <c:pt idx="60">
                  <c:v>8.06</c:v>
                </c:pt>
                <c:pt idx="61">
                  <c:v>7.98</c:v>
                </c:pt>
                <c:pt idx="62">
                  <c:v>7.88</c:v>
                </c:pt>
                <c:pt idx="63">
                  <c:v>7.93</c:v>
                </c:pt>
                <c:pt idx="64">
                  <c:v>7.95</c:v>
                </c:pt>
                <c:pt idx="65">
                  <c:v>7.87</c:v>
                </c:pt>
                <c:pt idx="66">
                  <c:v>7.85</c:v>
                </c:pt>
                <c:pt idx="67">
                  <c:v>7.88</c:v>
                </c:pt>
                <c:pt idx="68">
                  <c:v>7.85</c:v>
                </c:pt>
                <c:pt idx="69">
                  <c:v>7.94</c:v>
                </c:pt>
                <c:pt idx="70">
                  <c:v>7.84</c:v>
                </c:pt>
                <c:pt idx="71">
                  <c:v>7.9</c:v>
                </c:pt>
                <c:pt idx="72">
                  <c:v>7.89</c:v>
                </c:pt>
                <c:pt idx="73">
                  <c:v>7.92</c:v>
                </c:pt>
                <c:pt idx="74">
                  <c:v>7.87</c:v>
                </c:pt>
                <c:pt idx="75">
                  <c:v>7.9</c:v>
                </c:pt>
                <c:pt idx="76">
                  <c:v>7.83</c:v>
                </c:pt>
                <c:pt idx="77">
                  <c:v>7.91</c:v>
                </c:pt>
                <c:pt idx="78">
                  <c:v>7.84</c:v>
                </c:pt>
                <c:pt idx="79">
                  <c:v>7.95</c:v>
                </c:pt>
                <c:pt idx="80">
                  <c:v>8.02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7F-4576-B7AA-8578989ED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898856"/>
        <c:axId val="92048087"/>
      </c:lineChart>
      <c:catAx>
        <c:axId val="51898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48087"/>
        <c:crosses val="autoZero"/>
        <c:auto val="1"/>
        <c:lblAlgn val="ctr"/>
        <c:lblOffset val="100"/>
        <c:noMultiLvlLbl val="0"/>
      </c:catAx>
      <c:valAx>
        <c:axId val="92048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IMDB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98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556920</xdr:colOff>
      <xdr:row>31</xdr:row>
      <xdr:rowOff>168480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103320</xdr:colOff>
      <xdr:row>31</xdr:row>
      <xdr:rowOff>168480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125506</xdr:colOff>
      <xdr:row>32</xdr:row>
      <xdr:rowOff>80682</xdr:rowOff>
    </xdr:from>
    <xdr:to>
      <xdr:col>6</xdr:col>
      <xdr:colOff>94715</xdr:colOff>
      <xdr:row>47</xdr:row>
      <xdr:rowOff>100842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430307</xdr:colOff>
      <xdr:row>32</xdr:row>
      <xdr:rowOff>62753</xdr:rowOff>
    </xdr:from>
    <xdr:to>
      <xdr:col>13</xdr:col>
      <xdr:colOff>21354</xdr:colOff>
      <xdr:row>47</xdr:row>
      <xdr:rowOff>82913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6</xdr:col>
      <xdr:colOff>823680</xdr:colOff>
      <xdr:row>43</xdr:row>
      <xdr:rowOff>168480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103320</xdr:colOff>
      <xdr:row>43</xdr:row>
      <xdr:rowOff>168480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823680</xdr:colOff>
      <xdr:row>57</xdr:row>
      <xdr:rowOff>189720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12</xdr:col>
      <xdr:colOff>103320</xdr:colOff>
      <xdr:row>57</xdr:row>
      <xdr:rowOff>189720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823680</xdr:colOff>
      <xdr:row>28</xdr:row>
      <xdr:rowOff>168480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923365</xdr:colOff>
      <xdr:row>10</xdr:row>
      <xdr:rowOff>17929</xdr:rowOff>
    </xdr:from>
    <xdr:to>
      <xdr:col>12</xdr:col>
      <xdr:colOff>67461</xdr:colOff>
      <xdr:row>28</xdr:row>
      <xdr:rowOff>186409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134469</xdr:colOff>
      <xdr:row>44</xdr:row>
      <xdr:rowOff>134467</xdr:rowOff>
    </xdr:from>
    <xdr:to>
      <xdr:col>6</xdr:col>
      <xdr:colOff>735105</xdr:colOff>
      <xdr:row>58</xdr:row>
      <xdr:rowOff>8964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941295</xdr:colOff>
      <xdr:row>29</xdr:row>
      <xdr:rowOff>80683</xdr:rowOff>
    </xdr:from>
    <xdr:to>
      <xdr:col>12</xdr:col>
      <xdr:colOff>85391</xdr:colOff>
      <xdr:row>46</xdr:row>
      <xdr:rowOff>81785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125507</xdr:colOff>
      <xdr:row>29</xdr:row>
      <xdr:rowOff>17930</xdr:rowOff>
    </xdr:from>
    <xdr:to>
      <xdr:col>6</xdr:col>
      <xdr:colOff>770965</xdr:colOff>
      <xdr:row>44</xdr:row>
      <xdr:rowOff>62753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N62"/>
  <sheetViews>
    <sheetView showGridLines="0" tabSelected="1" zoomScale="110" zoomScaleNormal="85" workbookViewId="0">
      <selection activeCell="P4" sqref="P4"/>
    </sheetView>
  </sheetViews>
  <sheetFormatPr defaultColWidth="8.6640625" defaultRowHeight="14.4" x14ac:dyDescent="0.3"/>
  <cols>
    <col min="1" max="1" width="2" customWidth="1"/>
    <col min="2" max="13" width="14" customWidth="1"/>
    <col min="14" max="14" width="2" customWidth="1"/>
  </cols>
  <sheetData>
    <row r="1" spans="1:14" ht="1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1.75" customHeight="1" x14ac:dyDescent="0.3">
      <c r="A2" s="15"/>
      <c r="B2" s="103" t="s">
        <v>18</v>
      </c>
      <c r="C2" s="103"/>
      <c r="D2" s="103"/>
      <c r="E2" s="103"/>
      <c r="F2" s="103"/>
      <c r="G2" s="103"/>
      <c r="H2" s="103"/>
      <c r="I2" s="103"/>
      <c r="J2" s="103"/>
      <c r="K2" s="104" t="s">
        <v>19</v>
      </c>
      <c r="L2" s="104"/>
      <c r="M2" s="104"/>
      <c r="N2" s="15"/>
    </row>
    <row r="3" spans="1:14" ht="21.75" customHeight="1" x14ac:dyDescent="0.3">
      <c r="A3" s="15"/>
      <c r="B3" s="103"/>
      <c r="C3" s="103"/>
      <c r="D3" s="103"/>
      <c r="E3" s="103"/>
      <c r="F3" s="103"/>
      <c r="G3" s="103"/>
      <c r="H3" s="103"/>
      <c r="I3" s="103"/>
      <c r="J3" s="103"/>
      <c r="K3" s="104"/>
      <c r="L3" s="104"/>
      <c r="M3" s="104"/>
      <c r="N3" s="15"/>
    </row>
    <row r="4" spans="1:14" ht="1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9.5" customHeight="1" x14ac:dyDescent="0.3">
      <c r="A5" s="14"/>
      <c r="B5" s="43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14"/>
    </row>
    <row r="6" spans="1:14" ht="19.5" customHeight="1" x14ac:dyDescent="0.3">
      <c r="A6" s="14"/>
      <c r="B6" s="50"/>
      <c r="C6" s="50"/>
      <c r="D6" s="50"/>
      <c r="E6" s="51"/>
      <c r="F6" s="51"/>
      <c r="G6" s="51"/>
      <c r="H6" s="50"/>
      <c r="I6" s="50"/>
      <c r="J6" s="50"/>
      <c r="K6" s="52"/>
      <c r="L6" s="52"/>
      <c r="M6" s="52"/>
      <c r="N6" s="14"/>
    </row>
    <row r="7" spans="1:14" ht="19.5" customHeight="1" x14ac:dyDescent="0.3">
      <c r="A7" s="14"/>
      <c r="B7" s="53" t="s">
        <v>21</v>
      </c>
      <c r="C7" s="53"/>
      <c r="D7" s="53"/>
      <c r="E7" s="54" t="s">
        <v>22</v>
      </c>
      <c r="F7" s="54"/>
      <c r="G7" s="54"/>
      <c r="H7" s="55" t="s">
        <v>23</v>
      </c>
      <c r="I7" s="55"/>
      <c r="J7" s="55"/>
      <c r="K7" s="56" t="s">
        <v>24</v>
      </c>
      <c r="L7" s="56"/>
      <c r="M7" s="56"/>
      <c r="N7" s="14"/>
    </row>
    <row r="8" spans="1:14" ht="19.5" customHeight="1" x14ac:dyDescent="0.3">
      <c r="A8" s="14"/>
      <c r="B8" s="57">
        <f>COUNTA(RawData!A2:A10000)-COUNTIF(RawData!A2:A10000,"")</f>
        <v>-8653</v>
      </c>
      <c r="C8" s="57"/>
      <c r="D8" s="57"/>
      <c r="E8" s="58">
        <f>ROUND(AVERAGE(RawData!F2:F10000),2)</f>
        <v>7.94</v>
      </c>
      <c r="F8" s="58"/>
      <c r="G8" s="58"/>
      <c r="H8" s="59">
        <f>SUM(RawData!N2:N10000)</f>
        <v>53968015598</v>
      </c>
      <c r="I8" s="59"/>
      <c r="J8" s="59"/>
      <c r="K8" s="60">
        <f>ROUND(AVERAGE(RawData!O2:O10000),0)</f>
        <v>124</v>
      </c>
      <c r="L8" s="60"/>
      <c r="M8" s="60"/>
      <c r="N8" s="14"/>
    </row>
    <row r="9" spans="1:14" ht="19.5" customHeight="1" x14ac:dyDescent="0.3">
      <c r="A9" s="14"/>
      <c r="B9" s="61"/>
      <c r="C9" s="61"/>
      <c r="D9" s="61"/>
      <c r="E9" s="62"/>
      <c r="F9" s="62"/>
      <c r="G9" s="62"/>
      <c r="H9" s="33"/>
      <c r="I9" s="33"/>
      <c r="J9" s="33"/>
      <c r="K9" s="63"/>
      <c r="L9" s="63"/>
      <c r="M9" s="63"/>
      <c r="N9" s="14"/>
    </row>
    <row r="10" spans="1:14" ht="19.5" customHeight="1" x14ac:dyDescent="0.3">
      <c r="A10" s="14"/>
      <c r="B10" s="64"/>
      <c r="C10" s="64"/>
      <c r="D10" s="6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7.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7.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9.5" customHeight="1" x14ac:dyDescent="0.3">
      <c r="A13" s="14"/>
      <c r="B13" s="43" t="s">
        <v>25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14"/>
    </row>
    <row r="14" spans="1:14" ht="1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5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" ht="15" customHeight="1" x14ac:dyDescent="0.3">
      <c r="A49" s="14"/>
    </row>
    <row r="50" spans="1:1" ht="15" customHeight="1" x14ac:dyDescent="0.3">
      <c r="A50" s="14"/>
    </row>
    <row r="51" spans="1:1" ht="15" customHeight="1" x14ac:dyDescent="0.3">
      <c r="A51" s="14"/>
    </row>
    <row r="52" spans="1:1" ht="15" customHeight="1" x14ac:dyDescent="0.3">
      <c r="A52" s="14"/>
    </row>
    <row r="53" spans="1:1" ht="15" customHeight="1" x14ac:dyDescent="0.3">
      <c r="A53" s="14"/>
    </row>
    <row r="54" spans="1:1" ht="15" customHeight="1" x14ac:dyDescent="0.3">
      <c r="A54" s="14"/>
    </row>
    <row r="55" spans="1:1" ht="15" customHeight="1" x14ac:dyDescent="0.3">
      <c r="A55" s="14"/>
    </row>
    <row r="56" spans="1:1" ht="15" customHeight="1" x14ac:dyDescent="0.3">
      <c r="A56" s="14"/>
    </row>
    <row r="57" spans="1:1" ht="15" customHeight="1" x14ac:dyDescent="0.3">
      <c r="A57" s="14"/>
    </row>
    <row r="58" spans="1:1" ht="15" customHeight="1" x14ac:dyDescent="0.3">
      <c r="A58" s="14"/>
    </row>
    <row r="59" spans="1:1" ht="15" customHeight="1" x14ac:dyDescent="0.3">
      <c r="A59" s="14"/>
    </row>
    <row r="60" spans="1:1" ht="15" customHeight="1" x14ac:dyDescent="0.3">
      <c r="A60" s="14"/>
    </row>
    <row r="61" spans="1:1" ht="15" customHeight="1" x14ac:dyDescent="0.3">
      <c r="A61" s="14"/>
    </row>
    <row r="62" spans="1:1" ht="15" customHeight="1" x14ac:dyDescent="0.3">
      <c r="A62" s="14"/>
    </row>
  </sheetData>
  <mergeCells count="21">
    <mergeCell ref="B13:M13"/>
    <mergeCell ref="B9:D9"/>
    <mergeCell ref="E9:G9"/>
    <mergeCell ref="H9:J9"/>
    <mergeCell ref="K9:M9"/>
    <mergeCell ref="B10:D10"/>
    <mergeCell ref="B7:D7"/>
    <mergeCell ref="E7:G7"/>
    <mergeCell ref="H7:J7"/>
    <mergeCell ref="K7:M7"/>
    <mergeCell ref="B8:D8"/>
    <mergeCell ref="E8:G8"/>
    <mergeCell ref="H8:J8"/>
    <mergeCell ref="K8:M8"/>
    <mergeCell ref="B2:J3"/>
    <mergeCell ref="K2:M3"/>
    <mergeCell ref="B5:M5"/>
    <mergeCell ref="B6:D6"/>
    <mergeCell ref="E6:G6"/>
    <mergeCell ref="H6:J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N80"/>
  <sheetViews>
    <sheetView showGridLines="0" zoomScale="110" zoomScaleNormal="110" workbookViewId="0">
      <selection activeCell="P42" sqref="P42"/>
    </sheetView>
  </sheetViews>
  <sheetFormatPr defaultColWidth="8.6640625" defaultRowHeight="14.4" x14ac:dyDescent="0.3"/>
  <cols>
    <col min="1" max="1" width="2" customWidth="1"/>
    <col min="2" max="13" width="14" customWidth="1"/>
    <col min="14" max="14" width="2" customWidth="1"/>
  </cols>
  <sheetData>
    <row r="1" spans="1:14" ht="1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1.75" customHeight="1" x14ac:dyDescent="0.3">
      <c r="A2" s="13"/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2" t="s">
        <v>1</v>
      </c>
      <c r="L2" s="82"/>
      <c r="M2" s="82"/>
      <c r="N2" s="13"/>
    </row>
    <row r="3" spans="1:14" ht="21.75" customHeight="1" x14ac:dyDescent="0.3">
      <c r="A3" s="13"/>
      <c r="B3" s="81"/>
      <c r="C3" s="81"/>
      <c r="D3" s="81"/>
      <c r="E3" s="81"/>
      <c r="F3" s="81"/>
      <c r="G3" s="81"/>
      <c r="H3" s="81"/>
      <c r="I3" s="81"/>
      <c r="J3" s="81"/>
      <c r="K3" s="82"/>
      <c r="L3" s="82"/>
      <c r="M3" s="82"/>
      <c r="N3" s="13"/>
    </row>
    <row r="4" spans="1:14" ht="1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9.5" customHeight="1" x14ac:dyDescent="0.3">
      <c r="A5" s="14"/>
      <c r="B5" s="12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4"/>
    </row>
    <row r="6" spans="1:14" ht="19.5" customHeight="1" x14ac:dyDescent="0.3">
      <c r="A6" s="14"/>
      <c r="B6" s="11"/>
      <c r="C6" s="11"/>
      <c r="D6" s="11"/>
      <c r="E6" s="10"/>
      <c r="F6" s="10"/>
      <c r="G6" s="10"/>
      <c r="H6" s="9"/>
      <c r="I6" s="9"/>
      <c r="J6" s="9"/>
      <c r="K6" s="8"/>
      <c r="L6" s="8"/>
      <c r="M6" s="8"/>
      <c r="N6" s="14"/>
    </row>
    <row r="7" spans="1:14" ht="19.5" customHeight="1" x14ac:dyDescent="0.3">
      <c r="A7" s="14"/>
      <c r="B7" s="7" t="s">
        <v>3</v>
      </c>
      <c r="C7" s="7"/>
      <c r="D7" s="7"/>
      <c r="E7" s="6" t="s">
        <v>4</v>
      </c>
      <c r="F7" s="6"/>
      <c r="G7" s="6"/>
      <c r="H7" s="5" t="s">
        <v>5</v>
      </c>
      <c r="I7" s="5"/>
      <c r="J7" s="5"/>
      <c r="K7" s="4" t="s">
        <v>6</v>
      </c>
      <c r="L7" s="4"/>
      <c r="M7" s="4"/>
      <c r="N7" s="14"/>
    </row>
    <row r="8" spans="1:14" ht="19.5" customHeight="1" x14ac:dyDescent="0.3">
      <c r="A8" s="14"/>
      <c r="B8" s="3" t="str">
        <f>TEXT(MAX(RawData!N2:N10000),"$#,##0")</f>
        <v>$936,662,225</v>
      </c>
      <c r="C8" s="3"/>
      <c r="D8" s="3"/>
      <c r="E8" s="2" t="str">
        <f>TEXT(MIN(IF(RawData!N2:N10000&gt;0,RawData!N2:N10000)),"$#,##0")</f>
        <v>$1,305</v>
      </c>
      <c r="F8" s="2"/>
      <c r="G8" s="2"/>
      <c r="H8" s="1">
        <f>ROUND(AVERAGE(RawData!N2:N10000)/1000000,2)</f>
        <v>80.19</v>
      </c>
      <c r="I8" s="1"/>
      <c r="J8" s="1"/>
      <c r="K8" s="29">
        <f>ROUND(SUM(RawData!N2:N10000)/1000000000,2)</f>
        <v>53.97</v>
      </c>
      <c r="L8" s="29"/>
      <c r="M8" s="29"/>
      <c r="N8" s="14"/>
    </row>
    <row r="9" spans="1:14" ht="19.5" customHeight="1" x14ac:dyDescent="0.3">
      <c r="A9" s="14"/>
      <c r="B9" s="30"/>
      <c r="C9" s="30"/>
      <c r="D9" s="30"/>
      <c r="E9" s="31"/>
      <c r="F9" s="31"/>
      <c r="G9" s="31"/>
      <c r="H9" s="32"/>
      <c r="I9" s="32"/>
      <c r="J9" s="32"/>
      <c r="K9" s="33"/>
      <c r="L9" s="33"/>
      <c r="M9" s="33"/>
      <c r="N9" s="14"/>
    </row>
    <row r="10" spans="1:14" ht="19.5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8" customHeight="1" x14ac:dyDescent="0.3">
      <c r="A11" s="14"/>
      <c r="B11" s="34" t="s">
        <v>7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14"/>
    </row>
    <row r="12" spans="1:14" ht="19.5" customHeight="1" x14ac:dyDescent="0.3">
      <c r="A12" s="14"/>
      <c r="B12" s="35"/>
      <c r="C12" s="35"/>
      <c r="D12" s="35"/>
      <c r="E12" s="35"/>
      <c r="F12" s="35"/>
      <c r="G12" s="35"/>
      <c r="H12" s="36"/>
      <c r="I12" s="36"/>
      <c r="J12" s="36"/>
      <c r="K12" s="36"/>
      <c r="L12" s="36"/>
      <c r="M12" s="36"/>
      <c r="N12" s="14"/>
    </row>
    <row r="13" spans="1:14" ht="19.5" customHeight="1" x14ac:dyDescent="0.3">
      <c r="A13" s="14"/>
      <c r="B13" s="37" t="s">
        <v>8</v>
      </c>
      <c r="C13" s="37"/>
      <c r="D13" s="37"/>
      <c r="E13" s="37"/>
      <c r="F13" s="37"/>
      <c r="G13" s="37"/>
      <c r="H13" s="38" t="s">
        <v>9</v>
      </c>
      <c r="I13" s="38"/>
      <c r="J13" s="38"/>
      <c r="K13" s="38"/>
      <c r="L13" s="38"/>
      <c r="M13" s="38"/>
      <c r="N13" s="14"/>
    </row>
    <row r="14" spans="1:14" ht="19.5" customHeight="1" x14ac:dyDescent="0.3">
      <c r="A14" s="14"/>
      <c r="B14" s="39" t="str">
        <f>INDEX(RawData!A2:A10000,MATCH(MAX(RawData!N2:N10000),RawData!N2:N10000,0))</f>
        <v>Star Wars: Episode VII - The Force Awakens</v>
      </c>
      <c r="C14" s="39"/>
      <c r="D14" s="39"/>
      <c r="E14" s="39"/>
      <c r="F14" s="39"/>
      <c r="G14" s="39"/>
      <c r="H14" s="40" t="str">
        <f>INDEX(RawData!A2:A10000,MATCH(MAX(RawData!F2:F10000),RawData!F2:F10000,0))</f>
        <v>The Shawshank Redemption</v>
      </c>
      <c r="I14" s="40"/>
      <c r="J14" s="40"/>
      <c r="K14" s="40"/>
      <c r="L14" s="40"/>
      <c r="M14" s="40"/>
      <c r="N14" s="14"/>
    </row>
    <row r="15" spans="1:14" ht="19.5" customHeight="1" x14ac:dyDescent="0.3">
      <c r="A15" s="14"/>
      <c r="B15" s="41"/>
      <c r="C15" s="41"/>
      <c r="D15" s="41"/>
      <c r="E15" s="41"/>
      <c r="F15" s="41"/>
      <c r="G15" s="41"/>
      <c r="H15" s="42"/>
      <c r="I15" s="42"/>
      <c r="J15" s="42"/>
      <c r="K15" s="42"/>
      <c r="L15" s="42"/>
      <c r="M15" s="42"/>
      <c r="N15" s="14"/>
    </row>
    <row r="16" spans="1:14" ht="19.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9.5" customHeight="1" x14ac:dyDescent="0.3">
      <c r="A17" s="14"/>
      <c r="B17" s="43" t="s">
        <v>10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14"/>
    </row>
    <row r="18" spans="1:14" ht="19.5" customHeight="1" x14ac:dyDescent="0.3">
      <c r="A18" s="14"/>
      <c r="B18" s="44" t="s">
        <v>11</v>
      </c>
      <c r="C18" s="44"/>
      <c r="D18" s="44"/>
      <c r="E18" s="45">
        <f>ROUND(CORREL(RawData!F2:F10000,RawData!N2:N10000),4)</f>
        <v>0.11799999999999999</v>
      </c>
      <c r="F18" s="45"/>
      <c r="G18" s="45"/>
      <c r="H18" s="45"/>
      <c r="I18" s="45"/>
      <c r="J18" s="45"/>
      <c r="K18" s="46"/>
      <c r="L18" s="46"/>
      <c r="M18" s="46"/>
      <c r="N18" s="14"/>
    </row>
    <row r="19" spans="1:14" ht="19.5" customHeight="1" x14ac:dyDescent="0.3">
      <c r="A19" s="14"/>
      <c r="B19" s="47" t="s">
        <v>12</v>
      </c>
      <c r="C19" s="47"/>
      <c r="D19" s="47"/>
      <c r="E19" s="48" t="str">
        <f>INDEX(_HelperData!A:A,MATCH(MAX(_HelperData!B:B),_HelperData!B:B,0))</f>
        <v>Action</v>
      </c>
      <c r="F19" s="48"/>
      <c r="G19" s="48"/>
      <c r="H19" s="48"/>
      <c r="I19" s="48"/>
      <c r="J19" s="48"/>
      <c r="K19" s="49"/>
      <c r="L19" s="49"/>
      <c r="M19" s="49"/>
      <c r="N19" s="14"/>
    </row>
    <row r="20" spans="1:14" ht="19.5" customHeight="1" x14ac:dyDescent="0.3">
      <c r="A20" s="14"/>
      <c r="B20" s="44" t="s">
        <v>13</v>
      </c>
      <c r="C20" s="44"/>
      <c r="D20" s="44"/>
      <c r="E20" s="45">
        <f>ROUND(AVERAGEIF(RawData!P2:P10000,"Action",RawData!N2:N10000),0)</f>
        <v>160803113</v>
      </c>
      <c r="F20" s="45"/>
      <c r="G20" s="45"/>
      <c r="H20" s="45"/>
      <c r="I20" s="45"/>
      <c r="J20" s="45"/>
      <c r="K20" s="46"/>
      <c r="L20" s="46"/>
      <c r="M20" s="46"/>
      <c r="N20" s="14"/>
    </row>
    <row r="21" spans="1:14" ht="19.5" customHeight="1" x14ac:dyDescent="0.3">
      <c r="A21" s="14"/>
      <c r="B21" s="47" t="s">
        <v>14</v>
      </c>
      <c r="C21" s="47"/>
      <c r="D21" s="47"/>
      <c r="E21" s="48">
        <f>ROUND(AVERAGEIF(RawData!P2:P10000,"Drama",RawData!N2:N10000),0)</f>
        <v>48894875</v>
      </c>
      <c r="F21" s="48"/>
      <c r="G21" s="48"/>
      <c r="H21" s="48"/>
      <c r="I21" s="48"/>
      <c r="J21" s="48"/>
      <c r="K21" s="49"/>
      <c r="L21" s="49"/>
      <c r="M21" s="49"/>
      <c r="N21" s="14"/>
    </row>
    <row r="22" spans="1:14" ht="19.5" customHeight="1" x14ac:dyDescent="0.3">
      <c r="A22" s="14"/>
      <c r="B22" s="44" t="s">
        <v>15</v>
      </c>
      <c r="C22" s="44"/>
      <c r="D22" s="44"/>
      <c r="E22" s="45">
        <f>COUNTIF(RawData!N2:N10000,"&gt;100000000")</f>
        <v>182</v>
      </c>
      <c r="F22" s="45"/>
      <c r="G22" s="45"/>
      <c r="H22" s="45"/>
      <c r="I22" s="45"/>
      <c r="J22" s="45"/>
      <c r="K22" s="46"/>
      <c r="L22" s="46"/>
      <c r="M22" s="46"/>
      <c r="N22" s="14"/>
    </row>
    <row r="23" spans="1:14" ht="19.5" customHeight="1" x14ac:dyDescent="0.3">
      <c r="A23" s="14"/>
      <c r="B23" s="47" t="s">
        <v>16</v>
      </c>
      <c r="C23" s="47"/>
      <c r="D23" s="47"/>
      <c r="E23" s="48">
        <f>MAX(RawData!G2:G10000)</f>
        <v>100</v>
      </c>
      <c r="F23" s="48"/>
      <c r="G23" s="48"/>
      <c r="H23" s="48"/>
      <c r="I23" s="48"/>
      <c r="J23" s="48"/>
      <c r="K23" s="49"/>
      <c r="L23" s="49"/>
      <c r="M23" s="49"/>
      <c r="N23" s="14"/>
    </row>
    <row r="24" spans="1:14" ht="7.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9.5" customHeight="1" x14ac:dyDescent="0.3">
      <c r="A25" s="14"/>
      <c r="B25" s="43" t="s">
        <v>17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14"/>
    </row>
    <row r="26" spans="1:14" ht="1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4" ht="1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ht="19.5" customHeight="1" x14ac:dyDescent="0.3">
      <c r="A58" s="14"/>
    </row>
    <row r="59" spans="1:14" ht="15.75" customHeight="1" x14ac:dyDescent="0.3">
      <c r="A59" s="14"/>
    </row>
    <row r="60" spans="1:14" ht="15.75" customHeight="1" x14ac:dyDescent="0.3">
      <c r="A60" s="14"/>
    </row>
    <row r="61" spans="1:14" ht="15.75" customHeight="1" x14ac:dyDescent="0.3">
      <c r="A61" s="14"/>
    </row>
    <row r="62" spans="1:14" ht="15.75" customHeight="1" x14ac:dyDescent="0.3">
      <c r="A62" s="14"/>
    </row>
    <row r="63" spans="1:14" ht="15.75" customHeight="1" x14ac:dyDescent="0.3">
      <c r="A63" s="14"/>
    </row>
    <row r="64" spans="1:14" ht="15.75" customHeight="1" x14ac:dyDescent="0.3">
      <c r="A64" s="14"/>
    </row>
    <row r="65" spans="1:1" ht="15.75" customHeight="1" x14ac:dyDescent="0.3">
      <c r="A65" s="14"/>
    </row>
    <row r="66" spans="1:1" ht="15.75" customHeight="1" x14ac:dyDescent="0.3">
      <c r="A66" s="14"/>
    </row>
    <row r="67" spans="1:1" ht="15" customHeight="1" x14ac:dyDescent="0.3">
      <c r="A67" s="14"/>
    </row>
    <row r="68" spans="1:1" ht="15" customHeight="1" x14ac:dyDescent="0.3">
      <c r="A68" s="14"/>
    </row>
    <row r="69" spans="1:1" ht="15" customHeight="1" x14ac:dyDescent="0.3">
      <c r="A69" s="14"/>
    </row>
    <row r="70" spans="1:1" ht="15" customHeight="1" x14ac:dyDescent="0.3">
      <c r="A70" s="14"/>
    </row>
    <row r="71" spans="1:1" ht="15" customHeight="1" x14ac:dyDescent="0.3">
      <c r="A71" s="14"/>
    </row>
    <row r="72" spans="1:1" ht="15" customHeight="1" x14ac:dyDescent="0.3">
      <c r="A72" s="14"/>
    </row>
    <row r="73" spans="1:1" ht="15" customHeight="1" x14ac:dyDescent="0.3">
      <c r="A73" s="14"/>
    </row>
    <row r="74" spans="1:1" ht="15" customHeight="1" x14ac:dyDescent="0.3">
      <c r="A74" s="14"/>
    </row>
    <row r="75" spans="1:1" ht="15" customHeight="1" x14ac:dyDescent="0.3">
      <c r="A75" s="14"/>
    </row>
    <row r="76" spans="1:1" ht="15" customHeight="1" x14ac:dyDescent="0.3">
      <c r="A76" s="14"/>
    </row>
    <row r="77" spans="1:1" ht="15" customHeight="1" x14ac:dyDescent="0.3">
      <c r="A77" s="14"/>
    </row>
    <row r="78" spans="1:1" ht="15" customHeight="1" x14ac:dyDescent="0.3">
      <c r="A78" s="14"/>
    </row>
    <row r="79" spans="1:1" ht="15" customHeight="1" x14ac:dyDescent="0.3">
      <c r="A79" s="14"/>
    </row>
    <row r="80" spans="1:1" ht="15" customHeight="1" x14ac:dyDescent="0.3">
      <c r="A80" s="14"/>
    </row>
  </sheetData>
  <mergeCells count="48">
    <mergeCell ref="B23:D23"/>
    <mergeCell ref="E23:J23"/>
    <mergeCell ref="K23:M23"/>
    <mergeCell ref="B25:M25"/>
    <mergeCell ref="B21:D21"/>
    <mergeCell ref="E21:J21"/>
    <mergeCell ref="K21:M21"/>
    <mergeCell ref="B22:D22"/>
    <mergeCell ref="E22:J22"/>
    <mergeCell ref="K22:M22"/>
    <mergeCell ref="B19:D19"/>
    <mergeCell ref="E19:J19"/>
    <mergeCell ref="K19:M19"/>
    <mergeCell ref="B20:D20"/>
    <mergeCell ref="E20:J20"/>
    <mergeCell ref="K20:M20"/>
    <mergeCell ref="B15:G15"/>
    <mergeCell ref="H15:M15"/>
    <mergeCell ref="B17:M17"/>
    <mergeCell ref="B18:D18"/>
    <mergeCell ref="E18:J18"/>
    <mergeCell ref="K18:M18"/>
    <mergeCell ref="B12:G12"/>
    <mergeCell ref="H12:M12"/>
    <mergeCell ref="B13:G13"/>
    <mergeCell ref="H13:M13"/>
    <mergeCell ref="B14:G14"/>
    <mergeCell ref="H14:M14"/>
    <mergeCell ref="B9:D9"/>
    <mergeCell ref="E9:G9"/>
    <mergeCell ref="H9:J9"/>
    <mergeCell ref="K9:M9"/>
    <mergeCell ref="B11:M11"/>
    <mergeCell ref="B7:D7"/>
    <mergeCell ref="E7:G7"/>
    <mergeCell ref="H7:J7"/>
    <mergeCell ref="K7:M7"/>
    <mergeCell ref="B8:D8"/>
    <mergeCell ref="E8:G8"/>
    <mergeCell ref="H8:J8"/>
    <mergeCell ref="K8:M8"/>
    <mergeCell ref="B2:J3"/>
    <mergeCell ref="K2:M3"/>
    <mergeCell ref="B5:M5"/>
    <mergeCell ref="B6:D6"/>
    <mergeCell ref="E6:G6"/>
    <mergeCell ref="H6:J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148C"/>
  </sheetPr>
  <dimension ref="A1:N62"/>
  <sheetViews>
    <sheetView showGridLines="0" zoomScale="110" zoomScaleNormal="85" workbookViewId="0">
      <selection activeCell="P37" sqref="P37"/>
    </sheetView>
  </sheetViews>
  <sheetFormatPr defaultColWidth="8.6640625" defaultRowHeight="14.4" x14ac:dyDescent="0.3"/>
  <cols>
    <col min="1" max="1" width="2" customWidth="1"/>
    <col min="2" max="13" width="14" customWidth="1"/>
    <col min="14" max="14" width="2" customWidth="1"/>
  </cols>
  <sheetData>
    <row r="1" spans="1:14" ht="15" customHeight="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21.75" customHeight="1" x14ac:dyDescent="0.3">
      <c r="A2" s="16"/>
      <c r="B2" s="16"/>
      <c r="C2" s="83" t="s">
        <v>26</v>
      </c>
      <c r="D2" s="83"/>
      <c r="E2" s="83"/>
      <c r="F2" s="83"/>
      <c r="G2" s="83"/>
      <c r="H2" s="83"/>
      <c r="I2" s="83"/>
      <c r="J2" s="83"/>
      <c r="K2" s="84" t="s">
        <v>27</v>
      </c>
      <c r="L2" s="84"/>
      <c r="M2" s="84"/>
      <c r="N2" s="16"/>
    </row>
    <row r="3" spans="1:14" ht="21.75" customHeight="1" x14ac:dyDescent="0.3">
      <c r="A3" s="16"/>
      <c r="B3" s="16"/>
      <c r="C3" s="83"/>
      <c r="D3" s="83"/>
      <c r="E3" s="83"/>
      <c r="F3" s="83"/>
      <c r="G3" s="83"/>
      <c r="H3" s="83"/>
      <c r="I3" s="83"/>
      <c r="J3" s="83"/>
      <c r="K3" s="84"/>
      <c r="L3" s="84"/>
      <c r="M3" s="84"/>
      <c r="N3" s="16"/>
    </row>
    <row r="4" spans="1:14" ht="15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9.5" customHeight="1" x14ac:dyDescent="0.3">
      <c r="A5" s="14"/>
      <c r="B5" s="65" t="s">
        <v>28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14"/>
    </row>
    <row r="6" spans="1:14" ht="19.5" customHeight="1" x14ac:dyDescent="0.3">
      <c r="A6" s="14"/>
      <c r="B6" s="66"/>
      <c r="C6" s="66"/>
      <c r="D6" s="66"/>
      <c r="E6" s="50"/>
      <c r="F6" s="50"/>
      <c r="G6" s="50"/>
      <c r="H6" s="52"/>
      <c r="I6" s="52"/>
      <c r="J6" s="52"/>
      <c r="K6" s="67"/>
      <c r="L6" s="67"/>
      <c r="M6" s="67"/>
      <c r="N6" s="14"/>
    </row>
    <row r="7" spans="1:14" ht="19.5" customHeight="1" x14ac:dyDescent="0.3">
      <c r="A7" s="14"/>
      <c r="B7" s="4" t="s">
        <v>29</v>
      </c>
      <c r="C7" s="4"/>
      <c r="D7" s="4"/>
      <c r="E7" s="68" t="s">
        <v>30</v>
      </c>
      <c r="F7" s="68"/>
      <c r="G7" s="68"/>
      <c r="H7" s="69" t="s">
        <v>31</v>
      </c>
      <c r="I7" s="69"/>
      <c r="J7" s="69"/>
      <c r="K7" s="7" t="s">
        <v>32</v>
      </c>
      <c r="L7" s="7"/>
      <c r="M7" s="7"/>
      <c r="N7" s="14"/>
    </row>
    <row r="8" spans="1:14" ht="19.5" customHeight="1" x14ac:dyDescent="0.3">
      <c r="A8" s="14"/>
      <c r="B8" s="70">
        <f ca="1">COUNTA(_xludf.unique(RawData!H2:H10000))</f>
        <v>1</v>
      </c>
      <c r="C8" s="70"/>
      <c r="D8" s="70"/>
      <c r="E8" s="71">
        <f ca="1">COUNTA(_xludf.unique(RawData!I2:I10000))+COUNTA(_xludf.unique(RawData!J2:J10000))</f>
        <v>2</v>
      </c>
      <c r="F8" s="71"/>
      <c r="G8" s="71"/>
      <c r="H8" s="72">
        <f>ROUND(AVERAGE(RawData!M2:M10000),0)</f>
        <v>363342</v>
      </c>
      <c r="I8" s="72"/>
      <c r="J8" s="72"/>
      <c r="K8" s="73">
        <f>ROUND(AVERAGE(RawData!G2:G10000),1)</f>
        <v>76.900000000000006</v>
      </c>
      <c r="L8" s="73"/>
      <c r="M8" s="73"/>
      <c r="N8" s="14"/>
    </row>
    <row r="9" spans="1:14" ht="19.5" customHeight="1" x14ac:dyDescent="0.3">
      <c r="A9" s="14"/>
      <c r="B9" s="33"/>
      <c r="C9" s="33"/>
      <c r="D9" s="33"/>
      <c r="E9" s="61"/>
      <c r="F9" s="61"/>
      <c r="G9" s="61"/>
      <c r="H9" s="63"/>
      <c r="I9" s="63"/>
      <c r="J9" s="63"/>
      <c r="K9" s="30"/>
      <c r="L9" s="30"/>
      <c r="M9" s="30"/>
      <c r="N9" s="14"/>
    </row>
    <row r="10" spans="1:14" ht="19.5" customHeight="1" x14ac:dyDescent="0.3">
      <c r="A10" s="14"/>
      <c r="B10" s="43" t="s">
        <v>33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14"/>
    </row>
    <row r="11" spans="1:14" ht="1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1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5" customHeigh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1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1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1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15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 ht="1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 ht="1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ht="1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1:14" ht="1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1:14" ht="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1:14" ht="1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1:14" ht="1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spans="1:14" ht="1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4" ht="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4" ht="1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4" ht="1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4" ht="1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4" ht="1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4" ht="1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4" ht="1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4" ht="1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4" ht="1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4" ht="1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4" ht="1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4" ht="1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4" ht="1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4" ht="19.5" customHeight="1" x14ac:dyDescent="0.3">
      <c r="A56" s="14"/>
    </row>
    <row r="57" spans="1:14" ht="15.75" customHeight="1" x14ac:dyDescent="0.3">
      <c r="A57" s="14"/>
    </row>
    <row r="58" spans="1:14" ht="15.75" customHeight="1" x14ac:dyDescent="0.3">
      <c r="A58" s="14"/>
    </row>
    <row r="59" spans="1:14" ht="15" customHeight="1" x14ac:dyDescent="0.3">
      <c r="A59" s="14"/>
    </row>
    <row r="60" spans="1:14" ht="15" customHeight="1" x14ac:dyDescent="0.3">
      <c r="A60" s="14"/>
    </row>
    <row r="61" spans="1:14" ht="15" customHeight="1" x14ac:dyDescent="0.3">
      <c r="A61" s="14"/>
    </row>
    <row r="62" spans="1:14" ht="15" customHeight="1" x14ac:dyDescent="0.3">
      <c r="A62" s="14"/>
    </row>
  </sheetData>
  <mergeCells count="20">
    <mergeCell ref="B10:M10"/>
    <mergeCell ref="B9:D9"/>
    <mergeCell ref="E9:G9"/>
    <mergeCell ref="H9:J9"/>
    <mergeCell ref="K9:M9"/>
    <mergeCell ref="B7:D7"/>
    <mergeCell ref="E7:G7"/>
    <mergeCell ref="H7:J7"/>
    <mergeCell ref="K7:M7"/>
    <mergeCell ref="B8:D8"/>
    <mergeCell ref="E8:G8"/>
    <mergeCell ref="H8:J8"/>
    <mergeCell ref="K8:M8"/>
    <mergeCell ref="C2:J3"/>
    <mergeCell ref="K2:M3"/>
    <mergeCell ref="B5:M5"/>
    <mergeCell ref="B6:D6"/>
    <mergeCell ref="E6:G6"/>
    <mergeCell ref="H6:J6"/>
    <mergeCell ref="K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7B39"/>
  </sheetPr>
  <dimension ref="A1:T100"/>
  <sheetViews>
    <sheetView showGridLines="0" zoomScale="110" zoomScaleNormal="110" workbookViewId="0">
      <selection activeCell="N26" sqref="N26"/>
    </sheetView>
  </sheetViews>
  <sheetFormatPr defaultColWidth="8.6640625" defaultRowHeight="14.4" x14ac:dyDescent="0.3"/>
  <cols>
    <col min="1" max="1" width="2" customWidth="1"/>
    <col min="2" max="2" width="22" customWidth="1"/>
    <col min="3" max="10" width="18" customWidth="1"/>
    <col min="11" max="11" width="2" customWidth="1"/>
  </cols>
  <sheetData>
    <row r="1" spans="1:20" ht="15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4"/>
      <c r="M1" s="14"/>
      <c r="N1" s="14"/>
      <c r="O1" s="14"/>
      <c r="P1" s="14"/>
      <c r="Q1" s="14"/>
      <c r="R1" s="14"/>
      <c r="S1" s="14"/>
      <c r="T1" s="14"/>
    </row>
    <row r="2" spans="1:20" ht="21.75" customHeight="1" x14ac:dyDescent="0.3">
      <c r="A2" s="17"/>
      <c r="B2" s="85" t="s">
        <v>34</v>
      </c>
      <c r="C2" s="85"/>
      <c r="D2" s="85"/>
      <c r="E2" s="85"/>
      <c r="F2" s="85"/>
      <c r="G2" s="85"/>
      <c r="H2" s="85"/>
      <c r="I2" s="85"/>
      <c r="J2" s="85"/>
      <c r="K2" s="17"/>
      <c r="L2" s="14"/>
      <c r="M2" s="14"/>
      <c r="N2" s="14"/>
      <c r="O2" s="14"/>
      <c r="P2" s="14"/>
      <c r="Q2" s="14"/>
      <c r="R2" s="14"/>
      <c r="S2" s="14"/>
      <c r="T2" s="14"/>
    </row>
    <row r="3" spans="1:20" ht="21.75" customHeight="1" x14ac:dyDescent="0.3">
      <c r="A3" s="17"/>
      <c r="B3" s="85"/>
      <c r="C3" s="85"/>
      <c r="D3" s="85"/>
      <c r="E3" s="85"/>
      <c r="F3" s="85"/>
      <c r="G3" s="85"/>
      <c r="H3" s="85"/>
      <c r="I3" s="85"/>
      <c r="J3" s="85"/>
      <c r="K3" s="17"/>
      <c r="L3" s="14"/>
      <c r="M3" s="14"/>
      <c r="N3" s="14"/>
      <c r="O3" s="14"/>
      <c r="P3" s="14"/>
      <c r="Q3" s="14"/>
      <c r="R3" s="14"/>
      <c r="S3" s="14"/>
      <c r="T3" s="14"/>
    </row>
    <row r="4" spans="1:20" ht="15" customHeight="1" thickBo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4"/>
      <c r="M4" s="14"/>
      <c r="N4" s="14"/>
      <c r="O4" s="14"/>
      <c r="P4" s="14"/>
      <c r="Q4" s="14"/>
      <c r="R4" s="14"/>
      <c r="S4" s="14"/>
      <c r="T4" s="14"/>
    </row>
    <row r="5" spans="1:20" ht="19.5" customHeight="1" thickBot="1" x14ac:dyDescent="0.35">
      <c r="A5" s="14"/>
      <c r="B5" s="86" t="s">
        <v>35</v>
      </c>
      <c r="C5" s="87"/>
      <c r="D5" s="87"/>
      <c r="E5" s="87"/>
      <c r="F5" s="87"/>
      <c r="G5" s="87"/>
      <c r="H5" s="87"/>
      <c r="I5" s="87"/>
      <c r="J5" s="87"/>
      <c r="K5" s="89"/>
      <c r="L5" s="14"/>
      <c r="M5" s="14"/>
      <c r="N5" s="14"/>
      <c r="O5" s="14"/>
      <c r="P5" s="14"/>
      <c r="Q5" s="14"/>
      <c r="R5" s="14"/>
      <c r="S5" s="14"/>
      <c r="T5" s="14"/>
    </row>
    <row r="6" spans="1:20" ht="15" customHeight="1" thickBo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21.75" customHeight="1" thickBot="1" x14ac:dyDescent="0.35">
      <c r="A7" s="14"/>
      <c r="B7" s="94" t="s">
        <v>36</v>
      </c>
      <c r="C7" s="97" t="s">
        <v>1267</v>
      </c>
      <c r="D7" s="98"/>
      <c r="E7" s="98"/>
      <c r="F7" s="99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5" customHeight="1" x14ac:dyDescent="0.3">
      <c r="A8" s="14"/>
      <c r="B8" s="90"/>
      <c r="C8" s="90"/>
      <c r="D8" s="90"/>
      <c r="E8" s="90"/>
      <c r="F8" s="90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9.5" customHeight="1" x14ac:dyDescent="0.3">
      <c r="A9" s="14"/>
      <c r="B9" s="94" t="s">
        <v>38</v>
      </c>
      <c r="C9" s="91" t="str">
        <f>IF($C$7="","",IFERROR(INDEX(RawData!$B$2:$B$10000,MATCH($C$7,RawData!$A$2:$A$10000,0)),"Not found"))</f>
        <v>1984</v>
      </c>
      <c r="D9" s="91"/>
      <c r="E9" s="91"/>
      <c r="F9" s="91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9.5" customHeight="1" x14ac:dyDescent="0.3">
      <c r="A10" s="14"/>
      <c r="B10" s="95" t="s">
        <v>39</v>
      </c>
      <c r="C10" s="92" t="str">
        <f>IF($C$7="","",IFERROR(INDEX(RawData!$C$2:$C$10000,MATCH($C$7,RawData!$A$2:$A$10000,0)),"Not found"))</f>
        <v>UA</v>
      </c>
      <c r="D10" s="92"/>
      <c r="E10" s="92"/>
      <c r="F10" s="9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9.5" customHeight="1" x14ac:dyDescent="0.3">
      <c r="A11" s="14"/>
      <c r="B11" s="94" t="s">
        <v>40</v>
      </c>
      <c r="C11" s="91" t="str">
        <f>IF($C$7="","",IFERROR(INDEX(RawData!$D$2:$D$10000,MATCH($C$7,RawData!$A$2:$A$10000,0)),"Not found"))</f>
        <v>105 min</v>
      </c>
      <c r="D11" s="91"/>
      <c r="E11" s="91"/>
      <c r="F11" s="9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9.5" customHeight="1" x14ac:dyDescent="0.3">
      <c r="A12" s="14"/>
      <c r="B12" s="95" t="s">
        <v>41</v>
      </c>
      <c r="C12" s="92" t="str">
        <f>IF($C$7="","",IFERROR(INDEX(RawData!$E$2:$E$10000,MATCH($C$7,RawData!$A$2:$A$10000,0)),"Not found"))</f>
        <v>Action, Comedy, Fantasy</v>
      </c>
      <c r="D12" s="92"/>
      <c r="E12" s="92"/>
      <c r="F12" s="9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9.5" customHeight="1" x14ac:dyDescent="0.3">
      <c r="A13" s="14"/>
      <c r="B13" s="94" t="s">
        <v>42</v>
      </c>
      <c r="C13" s="91">
        <f>IF($C$7="","",IFERROR(INDEX(RawData!$F$2:$F$10000,MATCH($C$7,RawData!$A$2:$A$10000,0)),"Not found"))</f>
        <v>7.8</v>
      </c>
      <c r="D13" s="91"/>
      <c r="E13" s="91"/>
      <c r="F13" s="91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9.5" customHeight="1" x14ac:dyDescent="0.3">
      <c r="A14" s="14"/>
      <c r="B14" s="95" t="s">
        <v>43</v>
      </c>
      <c r="C14" s="92">
        <f>IF($C$7="","",IFERROR(INDEX(RawData!$G$2:$G$10000,MATCH($C$7,RawData!$A$2:$A$10000,0)),"Not found"))</f>
        <v>71</v>
      </c>
      <c r="D14" s="92"/>
      <c r="E14" s="92"/>
      <c r="F14" s="92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9.5" customHeight="1" x14ac:dyDescent="0.3">
      <c r="A15" s="14"/>
      <c r="B15" s="94" t="s">
        <v>44</v>
      </c>
      <c r="C15" s="91" t="str">
        <f>IF($C$7="","",IFERROR(INDEX(RawData!$H$2:$H$10000,MATCH($C$7,RawData!$A$2:$A$10000,0)),"Not found"))</f>
        <v>Ivan Reitman</v>
      </c>
      <c r="D15" s="91"/>
      <c r="E15" s="91"/>
      <c r="F15" s="9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9.5" customHeight="1" x14ac:dyDescent="0.3">
      <c r="A16" s="14"/>
      <c r="B16" s="95" t="s">
        <v>45</v>
      </c>
      <c r="C16" s="92" t="str">
        <f>IF($C$7="","",IFERROR(INDEX(RawData!$I$2:$I$10000,MATCH($C$7,RawData!$A$2:$A$10000,0)),"Not found"))</f>
        <v>Bill Murray</v>
      </c>
      <c r="D16" s="92"/>
      <c r="E16" s="92"/>
      <c r="F16" s="9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9.5" customHeight="1" x14ac:dyDescent="0.3">
      <c r="A17" s="14"/>
      <c r="B17" s="94" t="s">
        <v>46</v>
      </c>
      <c r="C17" s="91" t="str">
        <f>IF($C$7="","",IFERROR(INDEX(RawData!$J$2:$J$10000,MATCH($C$7,RawData!$A$2:$A$10000,0)),"Not found"))</f>
        <v>Dan Aykroyd</v>
      </c>
      <c r="D17" s="91"/>
      <c r="E17" s="91"/>
      <c r="F17" s="91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9.5" customHeight="1" x14ac:dyDescent="0.3">
      <c r="A18" s="14"/>
      <c r="B18" s="95" t="s">
        <v>47</v>
      </c>
      <c r="C18" s="93">
        <f>IF($C$7="","",IFERROR(INDEX(RawData!$M$2:$M$10000,MATCH($C$7,RawData!$A$2:$A$10000,0)),"Not found"))</f>
        <v>355413</v>
      </c>
      <c r="D18" s="93"/>
      <c r="E18" s="93"/>
      <c r="F18" s="9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9.5" customHeight="1" x14ac:dyDescent="0.3">
      <c r="A19" s="14"/>
      <c r="B19" s="94" t="s">
        <v>48</v>
      </c>
      <c r="C19" s="96">
        <f>IF($C$7="","",IFERROR(INDEX(RawData!$N$2:$N$10000,MATCH($C$7,RawData!$A$2:$A$10000,0)),"Not found"))</f>
        <v>238632124</v>
      </c>
      <c r="D19" s="96"/>
      <c r="E19" s="96"/>
      <c r="F19" s="96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1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ht="7.5" customHeight="1" thickBo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ht="19.5" customHeight="1" thickBot="1" x14ac:dyDescent="0.35">
      <c r="A22" s="14"/>
      <c r="B22" s="86" t="s">
        <v>49</v>
      </c>
      <c r="C22" s="87"/>
      <c r="D22" s="87"/>
      <c r="E22" s="87"/>
      <c r="F22" s="87"/>
      <c r="G22" s="87"/>
      <c r="H22" s="87"/>
      <c r="I22" s="87"/>
      <c r="J22" s="88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15" customHeight="1" thickBo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ht="21.75" customHeight="1" x14ac:dyDescent="0.3">
      <c r="A24" s="14"/>
      <c r="B24" s="18" t="s">
        <v>50</v>
      </c>
      <c r="C24" s="97" t="s">
        <v>167</v>
      </c>
      <c r="D24" s="100"/>
      <c r="E24" s="100"/>
      <c r="F24" s="10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ht="1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ht="19.5" customHeight="1" x14ac:dyDescent="0.3">
      <c r="A26" s="14"/>
      <c r="B26" s="19" t="s">
        <v>52</v>
      </c>
      <c r="C26" s="74">
        <f>COUNTIF(RawData!$H$2:$H$10000,$C$24)</f>
        <v>2</v>
      </c>
      <c r="D26" s="74"/>
      <c r="E26" s="74"/>
      <c r="F26" s="7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ht="19.5" customHeight="1" x14ac:dyDescent="0.3">
      <c r="A27" s="14"/>
      <c r="B27" s="20" t="s">
        <v>22</v>
      </c>
      <c r="C27" s="75">
        <f>IFERROR(ROUND(AVERAGEIF(RawData!$H$2:$H$10000,$C$24,RawData!$F$2:$F$10000),2),"N/A")</f>
        <v>7.85</v>
      </c>
      <c r="D27" s="75"/>
      <c r="E27" s="75"/>
      <c r="F27" s="7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ht="19.5" customHeight="1" x14ac:dyDescent="0.3">
      <c r="A28" s="14"/>
      <c r="B28" s="19" t="s">
        <v>23</v>
      </c>
      <c r="C28" s="76">
        <f>IFERROR(SUMIF(RawData!$H$2:$H$10000,$C$24,RawData!$N$2:$N$10000),"N/A")</f>
        <v>79828183</v>
      </c>
      <c r="D28" s="76"/>
      <c r="E28" s="76"/>
      <c r="F28" s="76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9.5" customHeight="1" x14ac:dyDescent="0.3">
      <c r="A29" s="14"/>
      <c r="B29" s="20" t="s">
        <v>53</v>
      </c>
      <c r="C29" s="77">
        <f>IFERROR(ROUND(AVERAGEIF(RawData!$H$2:$H$10000,$C$24,RawData!$N$2:$N$10000),0),"N/A")</f>
        <v>39914092</v>
      </c>
      <c r="D29" s="77"/>
      <c r="E29" s="77"/>
      <c r="F29" s="7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9.5" customHeight="1" x14ac:dyDescent="0.3">
      <c r="A30" s="14"/>
      <c r="B30" s="19" t="s">
        <v>54</v>
      </c>
      <c r="C30" s="74" t="str">
        <f>IFERROR(INDEX(RawData!$A$2:$A$10000,MATCH(_xlfn.MAXIFS(RawData!$F$2:$F$10000,RawData!$H$2:$H$10000,$C$24),RawData!$F$2:$F$10000,0)),"Not Found")</f>
        <v>Tropa de Elite</v>
      </c>
      <c r="D30" s="74"/>
      <c r="E30" s="74"/>
      <c r="F30" s="7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7.5" customHeight="1" thickBo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9.5" customHeight="1" thickBot="1" x14ac:dyDescent="0.35">
      <c r="A33" s="14"/>
      <c r="B33" s="86" t="s">
        <v>55</v>
      </c>
      <c r="C33" s="87"/>
      <c r="D33" s="87"/>
      <c r="E33" s="87"/>
      <c r="F33" s="87"/>
      <c r="G33" s="87"/>
      <c r="H33" s="87"/>
      <c r="I33" s="87"/>
      <c r="J33" s="88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5" customHeight="1" thickBo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25.5" customHeight="1" thickBot="1" x14ac:dyDescent="0.35">
      <c r="A35" s="14"/>
      <c r="B35" s="21" t="s">
        <v>56</v>
      </c>
      <c r="C35" s="102" t="s">
        <v>270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ht="19.5" customHeight="1" x14ac:dyDescent="0.3">
      <c r="A37" s="14"/>
      <c r="B37" s="22" t="s">
        <v>57</v>
      </c>
      <c r="C37" s="78">
        <f>COUNTIF(RawData!$B$2:$B$10000,TEXT($C$35,"0"))</f>
        <v>20</v>
      </c>
      <c r="D37" s="78"/>
      <c r="E37" s="78"/>
      <c r="F37" s="78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ht="19.5" customHeight="1" x14ac:dyDescent="0.3">
      <c r="A38" s="14"/>
      <c r="B38" s="23" t="s">
        <v>58</v>
      </c>
      <c r="C38" s="79">
        <f>IFERROR(ROUND(AVERAGEIF(RawData!$B$2:$B$10000,TEXT($C$35,"0"),RawData!$F$2:$F$10000),2),"N/A")</f>
        <v>7.88</v>
      </c>
      <c r="D38" s="79"/>
      <c r="E38" s="79"/>
      <c r="F38" s="79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ht="19.5" customHeight="1" x14ac:dyDescent="0.3">
      <c r="A39" s="14"/>
      <c r="B39" s="22" t="s">
        <v>59</v>
      </c>
      <c r="C39" s="80">
        <f>IFERROR(SUMIF(RawData!$B$2:$B$10000,TEXT($C$35,"0"),RawData!$N$2:$N$10000),"N/A")</f>
        <v>1156908937</v>
      </c>
      <c r="D39" s="80"/>
      <c r="E39" s="80"/>
      <c r="F39" s="80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ht="19.5" customHeight="1" x14ac:dyDescent="0.3">
      <c r="A40" s="14"/>
      <c r="B40" s="23" t="s">
        <v>60</v>
      </c>
      <c r="C40" s="79" t="str">
        <f>IFERROR(INDEX(RawData!$A$2:$A$10000,MATCH(_xlfn.MAXIFS(RawData!$F$2:$F$10000,RawData!$B$2:$B$10000,TEXT($C$35,"0")),RawData!$F$2:$F$10000,0)),"Not Found")</f>
        <v>The Intouchables</v>
      </c>
      <c r="D40" s="79"/>
      <c r="E40" s="79"/>
      <c r="F40" s="7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pans="1:20" ht="1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7.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ht="19.5" customHeight="1" x14ac:dyDescent="0.3">
      <c r="A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18" customHeight="1" x14ac:dyDescent="0.3">
      <c r="A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ht="18" customHeight="1" x14ac:dyDescent="0.3">
      <c r="A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0" ht="18" customHeight="1" x14ac:dyDescent="0.3">
      <c r="A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pans="1:20" ht="18" customHeight="1" x14ac:dyDescent="0.3">
      <c r="A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0" ht="18" customHeight="1" x14ac:dyDescent="0.3">
      <c r="A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spans="1:20" ht="18" customHeight="1" x14ac:dyDescent="0.3">
      <c r="A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18" customHeight="1" x14ac:dyDescent="0.3">
      <c r="A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spans="1:20" ht="18" customHeight="1" x14ac:dyDescent="0.3">
      <c r="A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spans="1:20" ht="18" customHeight="1" x14ac:dyDescent="0.3">
      <c r="A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pans="1:20" ht="18" customHeight="1" x14ac:dyDescent="0.3">
      <c r="A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1:20" ht="18" customHeight="1" x14ac:dyDescent="0.3">
      <c r="A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spans="1:20" ht="18" customHeight="1" x14ac:dyDescent="0.3">
      <c r="A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0" ht="18" customHeight="1" x14ac:dyDescent="0.3">
      <c r="A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1:20" ht="18" customHeight="1" x14ac:dyDescent="0.3">
      <c r="A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1:20" ht="15" customHeight="1" x14ac:dyDescent="0.3">
      <c r="A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1:20" ht="15" customHeight="1" x14ac:dyDescent="0.3">
      <c r="A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1:20" ht="15" customHeight="1" x14ac:dyDescent="0.3">
      <c r="A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15" customHeight="1" x14ac:dyDescent="0.3">
      <c r="A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0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1:20" ht="1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 ht="1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1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20" ht="1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pans="1:20" ht="1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 ht="1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1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spans="1:20" ht="1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spans="1:20" ht="1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1:20" ht="1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pans="1:20" ht="1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1:20" ht="1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spans="1:20" ht="1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1:20" ht="1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1:20" ht="1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0" ht="1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1:20" ht="1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1:20" ht="1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1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pans="1:20" ht="1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1:20" ht="1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1:20" ht="1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1:20" ht="1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1:20" ht="1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1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 ht="1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 ht="1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1:20" ht="1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ht="1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1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1:20" ht="1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1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1:20" ht="1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1:20" ht="1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0" ht="1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1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 ht="1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1:20" ht="1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</sheetData>
  <mergeCells count="26">
    <mergeCell ref="C40:F40"/>
    <mergeCell ref="C30:F30"/>
    <mergeCell ref="B33:J33"/>
    <mergeCell ref="C37:F37"/>
    <mergeCell ref="C38:F38"/>
    <mergeCell ref="C39:F39"/>
    <mergeCell ref="C24:F24"/>
    <mergeCell ref="C26:F26"/>
    <mergeCell ref="C27:F27"/>
    <mergeCell ref="C28:F28"/>
    <mergeCell ref="C29:F29"/>
    <mergeCell ref="C16:F16"/>
    <mergeCell ref="C17:F17"/>
    <mergeCell ref="C18:F18"/>
    <mergeCell ref="C19:F19"/>
    <mergeCell ref="B22:J22"/>
    <mergeCell ref="C11:F11"/>
    <mergeCell ref="C12:F12"/>
    <mergeCell ref="C13:F13"/>
    <mergeCell ref="C14:F14"/>
    <mergeCell ref="C15:F15"/>
    <mergeCell ref="B2:J3"/>
    <mergeCell ref="B5:J5"/>
    <mergeCell ref="C7:F7"/>
    <mergeCell ref="C9:F9"/>
    <mergeCell ref="C10:F1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RawData!$A$2:$A$10000</xm:f>
          </x14:formula1>
          <x14:formula2>
            <xm:f>0</xm:f>
          </x14:formula2>
          <xm:sqref>C7</xm:sqref>
        </x14:dataValidation>
        <x14:dataValidation type="list" allowBlank="1" xr:uid="{00000000-0002-0000-0300-000001000000}">
          <x14:formula1>
            <xm:f>RawData!$H$2:$H$10000</xm:f>
          </x14:formula1>
          <x14:formula2>
            <xm:f>0</xm:f>
          </x14:formula2>
          <xm:sqref>C24</xm:sqref>
        </x14:dataValidation>
        <x14:dataValidation type="list" allowBlank="1" showInputMessage="1" showErrorMessage="1" xr:uid="{994D7529-556B-4947-9DC2-03CF8C857BD6}">
          <x14:formula1>
            <xm:f>RawData!$B:$B</xm:f>
          </x14:formula1>
          <xm:sqref>C35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88888"/>
  </sheetPr>
  <dimension ref="A1:P674"/>
  <sheetViews>
    <sheetView topLeftCell="C1" zoomScaleNormal="100" workbookViewId="0">
      <selection activeCell="N674" sqref="N674"/>
    </sheetView>
  </sheetViews>
  <sheetFormatPr defaultColWidth="8.6640625" defaultRowHeight="14.4" x14ac:dyDescent="0.3"/>
  <cols>
    <col min="1" max="1" width="30" customWidth="1"/>
    <col min="2" max="2" width="6" customWidth="1"/>
    <col min="3" max="3" width="10" customWidth="1"/>
    <col min="4" max="4" width="9" customWidth="1"/>
    <col min="5" max="5" width="28" customWidth="1"/>
    <col min="6" max="7" width="9" customWidth="1"/>
    <col min="8" max="8" width="22" customWidth="1"/>
    <col min="9" max="12" width="18" customWidth="1"/>
    <col min="13" max="13" width="12" customWidth="1"/>
    <col min="14" max="14" width="14" customWidth="1"/>
    <col min="15" max="15" width="11" customWidth="1"/>
    <col min="16" max="16" width="14" customWidth="1"/>
  </cols>
  <sheetData>
    <row r="1" spans="1:16" ht="21.75" customHeight="1" x14ac:dyDescent="0.3">
      <c r="A1" s="24" t="s">
        <v>61</v>
      </c>
      <c r="B1" s="24" t="s">
        <v>62</v>
      </c>
      <c r="C1" s="24" t="s">
        <v>39</v>
      </c>
      <c r="D1" s="24" t="s">
        <v>40</v>
      </c>
      <c r="E1" s="24" t="s">
        <v>41</v>
      </c>
      <c r="F1" s="24" t="s">
        <v>42</v>
      </c>
      <c r="G1" s="24" t="s">
        <v>43</v>
      </c>
      <c r="H1" s="24" t="s">
        <v>44</v>
      </c>
      <c r="I1" s="24" t="s">
        <v>45</v>
      </c>
      <c r="J1" s="24" t="s">
        <v>46</v>
      </c>
      <c r="K1" s="24" t="s">
        <v>63</v>
      </c>
      <c r="L1" s="24" t="s">
        <v>64</v>
      </c>
      <c r="M1" s="24" t="s">
        <v>47</v>
      </c>
      <c r="N1" s="24" t="s">
        <v>65</v>
      </c>
      <c r="O1" s="24" t="s">
        <v>66</v>
      </c>
      <c r="P1" s="24" t="s">
        <v>67</v>
      </c>
    </row>
    <row r="2" spans="1:16" ht="15" customHeight="1" x14ac:dyDescent="0.3">
      <c r="A2" t="s">
        <v>37</v>
      </c>
      <c r="B2" t="s">
        <v>68</v>
      </c>
      <c r="C2" t="s">
        <v>69</v>
      </c>
      <c r="D2" t="s">
        <v>70</v>
      </c>
      <c r="E2" t="s">
        <v>71</v>
      </c>
      <c r="F2">
        <v>7.7</v>
      </c>
      <c r="G2">
        <v>28</v>
      </c>
      <c r="H2" t="s">
        <v>51</v>
      </c>
      <c r="I2" t="s">
        <v>72</v>
      </c>
      <c r="J2" t="s">
        <v>73</v>
      </c>
      <c r="K2" t="s">
        <v>74</v>
      </c>
      <c r="L2" t="s">
        <v>75</v>
      </c>
      <c r="M2">
        <v>142863</v>
      </c>
      <c r="N2" s="25">
        <v>40311852</v>
      </c>
      <c r="O2" s="26">
        <v>132</v>
      </c>
      <c r="P2" t="s">
        <v>71</v>
      </c>
    </row>
    <row r="3" spans="1:16" ht="15" customHeight="1" x14ac:dyDescent="0.3">
      <c r="A3" t="s">
        <v>76</v>
      </c>
      <c r="B3" t="s">
        <v>77</v>
      </c>
      <c r="C3" t="s">
        <v>78</v>
      </c>
      <c r="D3" t="s">
        <v>79</v>
      </c>
      <c r="E3" t="s">
        <v>80</v>
      </c>
      <c r="F3">
        <v>7.6</v>
      </c>
      <c r="G3">
        <v>30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>
        <v>451479</v>
      </c>
      <c r="N3" s="25">
        <v>57938693</v>
      </c>
      <c r="O3" s="26">
        <v>113</v>
      </c>
      <c r="P3" t="s">
        <v>71</v>
      </c>
    </row>
    <row r="4" spans="1:16" ht="15" customHeight="1" x14ac:dyDescent="0.3">
      <c r="A4" t="s">
        <v>86</v>
      </c>
      <c r="B4" t="s">
        <v>87</v>
      </c>
      <c r="C4" t="s">
        <v>88</v>
      </c>
      <c r="D4" t="s">
        <v>89</v>
      </c>
      <c r="E4" t="s">
        <v>90</v>
      </c>
      <c r="F4">
        <v>8</v>
      </c>
      <c r="G4">
        <v>33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>
        <v>98097</v>
      </c>
      <c r="N4" s="25">
        <v>8060</v>
      </c>
      <c r="O4" s="26">
        <v>115</v>
      </c>
      <c r="P4" t="s">
        <v>96</v>
      </c>
    </row>
    <row r="5" spans="1:16" ht="15" customHeight="1" x14ac:dyDescent="0.3">
      <c r="A5" t="s">
        <v>97</v>
      </c>
      <c r="B5" t="s">
        <v>98</v>
      </c>
      <c r="C5" t="s">
        <v>99</v>
      </c>
      <c r="D5" t="s">
        <v>100</v>
      </c>
      <c r="E5" t="s">
        <v>71</v>
      </c>
      <c r="F5">
        <v>7.6</v>
      </c>
      <c r="G5">
        <v>36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>
        <v>286770</v>
      </c>
      <c r="N5" s="25">
        <v>69951824</v>
      </c>
      <c r="O5" s="26">
        <v>123</v>
      </c>
      <c r="P5" t="s">
        <v>71</v>
      </c>
    </row>
    <row r="6" spans="1:16" ht="15" customHeight="1" x14ac:dyDescent="0.3">
      <c r="A6" t="s">
        <v>106</v>
      </c>
      <c r="B6" t="s">
        <v>107</v>
      </c>
      <c r="C6" t="s">
        <v>78</v>
      </c>
      <c r="D6" t="s">
        <v>108</v>
      </c>
      <c r="E6" t="s">
        <v>109</v>
      </c>
      <c r="F6">
        <v>7.7</v>
      </c>
      <c r="G6">
        <v>40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>
        <v>32628</v>
      </c>
      <c r="N6" s="25">
        <v>1122527</v>
      </c>
      <c r="O6" s="26">
        <v>130</v>
      </c>
      <c r="P6" t="s">
        <v>71</v>
      </c>
    </row>
    <row r="7" spans="1:16" ht="15" customHeight="1" x14ac:dyDescent="0.3">
      <c r="A7" t="s">
        <v>115</v>
      </c>
      <c r="B7" t="s">
        <v>116</v>
      </c>
      <c r="C7" t="s">
        <v>88</v>
      </c>
      <c r="D7" t="s">
        <v>117</v>
      </c>
      <c r="E7" t="s">
        <v>118</v>
      </c>
      <c r="F7">
        <v>7.6</v>
      </c>
      <c r="G7">
        <v>41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>
        <v>259753</v>
      </c>
      <c r="N7" s="25">
        <v>10680275</v>
      </c>
      <c r="O7" s="26">
        <v>118</v>
      </c>
      <c r="P7" t="s">
        <v>124</v>
      </c>
    </row>
    <row r="8" spans="1:16" ht="15" customHeight="1" x14ac:dyDescent="0.3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>
        <v>7.7</v>
      </c>
      <c r="G8">
        <v>45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>
        <v>81446</v>
      </c>
      <c r="N8" s="25">
        <v>1752214</v>
      </c>
      <c r="O8" s="26">
        <v>90</v>
      </c>
      <c r="P8" t="s">
        <v>135</v>
      </c>
    </row>
    <row r="9" spans="1:16" ht="15" customHeight="1" x14ac:dyDescent="0.3">
      <c r="A9" t="s">
        <v>136</v>
      </c>
      <c r="B9" t="s">
        <v>137</v>
      </c>
      <c r="C9" t="s">
        <v>88</v>
      </c>
      <c r="D9" t="s">
        <v>138</v>
      </c>
      <c r="E9" t="s">
        <v>129</v>
      </c>
      <c r="F9">
        <v>7.6</v>
      </c>
      <c r="G9">
        <v>45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>
        <v>67360</v>
      </c>
      <c r="N9" s="25">
        <v>548707</v>
      </c>
      <c r="O9" s="26">
        <v>93</v>
      </c>
      <c r="P9" t="s">
        <v>135</v>
      </c>
    </row>
    <row r="10" spans="1:16" ht="15" customHeight="1" x14ac:dyDescent="0.3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>
        <v>7.8</v>
      </c>
      <c r="G10">
        <v>45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  <c r="M10">
        <v>371387</v>
      </c>
      <c r="N10" s="25">
        <v>59735548</v>
      </c>
      <c r="O10" s="26">
        <v>107</v>
      </c>
      <c r="P10" t="s">
        <v>96</v>
      </c>
    </row>
    <row r="11" spans="1:16" ht="15" customHeight="1" x14ac:dyDescent="0.3">
      <c r="A11" t="s">
        <v>154</v>
      </c>
      <c r="B11" t="s">
        <v>77</v>
      </c>
      <c r="C11" t="s">
        <v>99</v>
      </c>
      <c r="D11" t="s">
        <v>155</v>
      </c>
      <c r="E11" t="s">
        <v>156</v>
      </c>
      <c r="F11">
        <v>7.6</v>
      </c>
      <c r="G11">
        <v>46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>
        <v>379020</v>
      </c>
      <c r="N11" s="25">
        <v>56000369</v>
      </c>
      <c r="O11" s="26">
        <v>103</v>
      </c>
      <c r="P11" t="s">
        <v>162</v>
      </c>
    </row>
    <row r="12" spans="1:16" ht="15" customHeight="1" x14ac:dyDescent="0.3">
      <c r="A12" t="s">
        <v>163</v>
      </c>
      <c r="B12" t="s">
        <v>164</v>
      </c>
      <c r="C12" t="s">
        <v>88</v>
      </c>
      <c r="D12" t="s">
        <v>165</v>
      </c>
      <c r="E12" t="s">
        <v>166</v>
      </c>
      <c r="F12">
        <v>8</v>
      </c>
      <c r="G12">
        <v>47</v>
      </c>
      <c r="H12" t="s">
        <v>167</v>
      </c>
      <c r="I12" t="s">
        <v>168</v>
      </c>
      <c r="J12" t="s">
        <v>169</v>
      </c>
      <c r="K12" t="s">
        <v>170</v>
      </c>
      <c r="L12" t="s">
        <v>171</v>
      </c>
      <c r="M12">
        <v>28825</v>
      </c>
      <c r="N12" s="25">
        <v>4496583</v>
      </c>
      <c r="O12" s="26">
        <v>180</v>
      </c>
      <c r="P12" t="s">
        <v>172</v>
      </c>
    </row>
    <row r="13" spans="1:16" ht="15" customHeight="1" x14ac:dyDescent="0.3">
      <c r="A13" t="s">
        <v>173</v>
      </c>
      <c r="B13" t="s">
        <v>77</v>
      </c>
      <c r="C13" t="s">
        <v>99</v>
      </c>
      <c r="D13" t="s">
        <v>174</v>
      </c>
      <c r="E13" t="s">
        <v>90</v>
      </c>
      <c r="F13">
        <v>7.7</v>
      </c>
      <c r="G13">
        <v>47</v>
      </c>
      <c r="H13" t="s">
        <v>175</v>
      </c>
      <c r="I13" t="s">
        <v>176</v>
      </c>
      <c r="J13" t="s">
        <v>177</v>
      </c>
      <c r="K13" t="s">
        <v>74</v>
      </c>
      <c r="L13" t="s">
        <v>178</v>
      </c>
      <c r="M13">
        <v>329592</v>
      </c>
      <c r="N13" s="25">
        <v>77911774</v>
      </c>
      <c r="O13" s="26">
        <v>146</v>
      </c>
      <c r="P13" t="s">
        <v>96</v>
      </c>
    </row>
    <row r="14" spans="1:16" ht="15" customHeight="1" x14ac:dyDescent="0.3">
      <c r="A14" t="s">
        <v>179</v>
      </c>
      <c r="B14" t="s">
        <v>180</v>
      </c>
      <c r="C14" t="s">
        <v>99</v>
      </c>
      <c r="D14" t="s">
        <v>181</v>
      </c>
      <c r="E14" t="s">
        <v>182</v>
      </c>
      <c r="F14">
        <v>8.1</v>
      </c>
      <c r="G14">
        <v>47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>
        <v>76081</v>
      </c>
      <c r="N14" s="25">
        <v>22244207</v>
      </c>
      <c r="O14" s="26">
        <v>95</v>
      </c>
      <c r="P14" t="s">
        <v>71</v>
      </c>
    </row>
    <row r="15" spans="1:16" ht="15" customHeight="1" x14ac:dyDescent="0.3">
      <c r="A15" t="s">
        <v>188</v>
      </c>
      <c r="B15" t="s">
        <v>189</v>
      </c>
      <c r="C15" t="s">
        <v>146</v>
      </c>
      <c r="D15" t="s">
        <v>190</v>
      </c>
      <c r="E15" t="s">
        <v>191</v>
      </c>
      <c r="F15">
        <v>7.7</v>
      </c>
      <c r="G15">
        <v>47</v>
      </c>
      <c r="H15" t="s">
        <v>192</v>
      </c>
      <c r="I15" t="s">
        <v>193</v>
      </c>
      <c r="J15" t="s">
        <v>194</v>
      </c>
      <c r="K15" t="s">
        <v>195</v>
      </c>
      <c r="L15" t="s">
        <v>196</v>
      </c>
      <c r="M15">
        <v>189716</v>
      </c>
      <c r="N15" s="25">
        <v>56116183</v>
      </c>
      <c r="O15" s="26">
        <v>129</v>
      </c>
      <c r="P15" t="s">
        <v>172</v>
      </c>
    </row>
    <row r="16" spans="1:16" ht="15" customHeight="1" x14ac:dyDescent="0.3">
      <c r="A16" t="s">
        <v>197</v>
      </c>
      <c r="B16" t="s">
        <v>198</v>
      </c>
      <c r="C16" t="s">
        <v>78</v>
      </c>
      <c r="D16" t="s">
        <v>79</v>
      </c>
      <c r="E16" t="s">
        <v>199</v>
      </c>
      <c r="F16">
        <v>7.8</v>
      </c>
      <c r="G16">
        <v>48</v>
      </c>
      <c r="H16" t="s">
        <v>200</v>
      </c>
      <c r="I16" t="s">
        <v>176</v>
      </c>
      <c r="J16" t="s">
        <v>201</v>
      </c>
      <c r="K16" t="s">
        <v>202</v>
      </c>
      <c r="L16" t="s">
        <v>203</v>
      </c>
      <c r="M16">
        <v>198089</v>
      </c>
      <c r="N16" s="25">
        <v>115654751</v>
      </c>
      <c r="O16" s="26">
        <v>113</v>
      </c>
      <c r="P16" t="s">
        <v>204</v>
      </c>
    </row>
    <row r="17" spans="1:16" ht="15" customHeight="1" x14ac:dyDescent="0.3">
      <c r="A17" t="s">
        <v>205</v>
      </c>
      <c r="B17" t="s">
        <v>206</v>
      </c>
      <c r="C17" t="s">
        <v>99</v>
      </c>
      <c r="D17" t="s">
        <v>207</v>
      </c>
      <c r="E17" t="s">
        <v>208</v>
      </c>
      <c r="F17">
        <v>8</v>
      </c>
      <c r="G17">
        <v>49</v>
      </c>
      <c r="H17" t="s">
        <v>209</v>
      </c>
      <c r="I17" t="s">
        <v>210</v>
      </c>
      <c r="J17" t="s">
        <v>211</v>
      </c>
      <c r="K17" t="s">
        <v>212</v>
      </c>
      <c r="L17" t="s">
        <v>213</v>
      </c>
      <c r="M17">
        <v>450349</v>
      </c>
      <c r="N17" s="25">
        <v>216428042</v>
      </c>
      <c r="O17" s="26">
        <v>134</v>
      </c>
      <c r="P17" t="s">
        <v>204</v>
      </c>
    </row>
    <row r="18" spans="1:16" ht="15" customHeight="1" x14ac:dyDescent="0.3">
      <c r="A18" t="s">
        <v>214</v>
      </c>
      <c r="B18" t="s">
        <v>107</v>
      </c>
      <c r="C18" t="s">
        <v>88</v>
      </c>
      <c r="D18" t="s">
        <v>215</v>
      </c>
      <c r="E18" t="s">
        <v>191</v>
      </c>
      <c r="F18">
        <v>7.8</v>
      </c>
      <c r="G18">
        <v>49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>
        <v>108399</v>
      </c>
      <c r="N18" s="25">
        <v>85433</v>
      </c>
      <c r="O18" s="26">
        <v>131</v>
      </c>
      <c r="P18" t="s">
        <v>172</v>
      </c>
    </row>
    <row r="19" spans="1:16" ht="15" customHeight="1" x14ac:dyDescent="0.3">
      <c r="A19" t="s">
        <v>221</v>
      </c>
      <c r="B19" t="s">
        <v>189</v>
      </c>
      <c r="C19" t="s">
        <v>99</v>
      </c>
      <c r="D19" t="s">
        <v>222</v>
      </c>
      <c r="E19" t="s">
        <v>223</v>
      </c>
      <c r="F19">
        <v>7.6</v>
      </c>
      <c r="G19">
        <v>49</v>
      </c>
      <c r="H19" t="s">
        <v>224</v>
      </c>
      <c r="I19" t="s">
        <v>225</v>
      </c>
      <c r="J19" t="s">
        <v>226</v>
      </c>
      <c r="K19" t="s">
        <v>227</v>
      </c>
      <c r="L19" t="s">
        <v>228</v>
      </c>
      <c r="M19">
        <v>186734</v>
      </c>
      <c r="N19" s="25">
        <v>49100000</v>
      </c>
      <c r="O19" s="26">
        <v>147</v>
      </c>
      <c r="P19" t="s">
        <v>172</v>
      </c>
    </row>
    <row r="20" spans="1:16" ht="15" customHeight="1" x14ac:dyDescent="0.3">
      <c r="A20" t="s">
        <v>229</v>
      </c>
      <c r="B20" t="s">
        <v>126</v>
      </c>
      <c r="C20" t="s">
        <v>99</v>
      </c>
      <c r="D20" t="s">
        <v>230</v>
      </c>
      <c r="E20" t="s">
        <v>71</v>
      </c>
      <c r="F20">
        <v>8</v>
      </c>
      <c r="G20">
        <v>50</v>
      </c>
      <c r="H20" t="s">
        <v>231</v>
      </c>
      <c r="I20" t="s">
        <v>232</v>
      </c>
      <c r="J20" t="s">
        <v>233</v>
      </c>
      <c r="K20" t="s">
        <v>234</v>
      </c>
      <c r="L20" t="s">
        <v>235</v>
      </c>
      <c r="M20">
        <v>98575</v>
      </c>
      <c r="N20" s="25">
        <v>4018695</v>
      </c>
      <c r="O20" s="26">
        <v>165</v>
      </c>
      <c r="P20" t="s">
        <v>71</v>
      </c>
    </row>
    <row r="21" spans="1:16" ht="15" customHeight="1" x14ac:dyDescent="0.3">
      <c r="A21" t="s">
        <v>236</v>
      </c>
      <c r="B21" t="s">
        <v>237</v>
      </c>
      <c r="C21" t="s">
        <v>238</v>
      </c>
      <c r="D21" t="s">
        <v>239</v>
      </c>
      <c r="E21" t="s">
        <v>240</v>
      </c>
      <c r="F21">
        <v>7.6</v>
      </c>
      <c r="G21">
        <v>50</v>
      </c>
      <c r="H21" t="s">
        <v>241</v>
      </c>
      <c r="I21" t="s">
        <v>242</v>
      </c>
      <c r="J21" t="s">
        <v>243</v>
      </c>
      <c r="K21" t="s">
        <v>244</v>
      </c>
      <c r="L21" t="s">
        <v>245</v>
      </c>
      <c r="M21">
        <v>45338</v>
      </c>
      <c r="N21" s="25">
        <v>1378435</v>
      </c>
      <c r="O21" s="26">
        <v>144</v>
      </c>
      <c r="P21" t="s">
        <v>124</v>
      </c>
    </row>
    <row r="22" spans="1:16" ht="15" customHeight="1" x14ac:dyDescent="0.3">
      <c r="A22" t="s">
        <v>246</v>
      </c>
      <c r="B22" t="s">
        <v>164</v>
      </c>
      <c r="C22" t="s">
        <v>88</v>
      </c>
      <c r="D22" t="s">
        <v>108</v>
      </c>
      <c r="E22" t="s">
        <v>247</v>
      </c>
      <c r="F22">
        <v>7.8</v>
      </c>
      <c r="G22">
        <v>50</v>
      </c>
      <c r="H22" t="s">
        <v>248</v>
      </c>
      <c r="I22" t="s">
        <v>249</v>
      </c>
      <c r="J22" t="s">
        <v>250</v>
      </c>
      <c r="K22" t="s">
        <v>251</v>
      </c>
      <c r="L22" t="s">
        <v>252</v>
      </c>
      <c r="M22">
        <v>126871</v>
      </c>
      <c r="N22" s="25">
        <v>56505065</v>
      </c>
      <c r="O22" s="26">
        <v>130</v>
      </c>
      <c r="P22" t="s">
        <v>96</v>
      </c>
    </row>
    <row r="23" spans="1:16" ht="15" customHeight="1" x14ac:dyDescent="0.3">
      <c r="A23" t="s">
        <v>253</v>
      </c>
      <c r="B23" t="s">
        <v>98</v>
      </c>
      <c r="C23" t="s">
        <v>146</v>
      </c>
      <c r="D23" t="s">
        <v>128</v>
      </c>
      <c r="E23" t="s">
        <v>254</v>
      </c>
      <c r="F23">
        <v>7.8</v>
      </c>
      <c r="G23">
        <v>51</v>
      </c>
      <c r="H23" t="s">
        <v>255</v>
      </c>
      <c r="I23" t="s">
        <v>256</v>
      </c>
      <c r="J23" t="s">
        <v>257</v>
      </c>
      <c r="K23" t="s">
        <v>258</v>
      </c>
      <c r="L23" t="s">
        <v>259</v>
      </c>
      <c r="M23">
        <v>564791</v>
      </c>
      <c r="N23" s="25">
        <v>145000989</v>
      </c>
      <c r="O23" s="26">
        <v>90</v>
      </c>
      <c r="P23" t="s">
        <v>96</v>
      </c>
    </row>
    <row r="24" spans="1:16" ht="15" customHeight="1" x14ac:dyDescent="0.3">
      <c r="A24" t="s">
        <v>260</v>
      </c>
      <c r="B24" t="s">
        <v>261</v>
      </c>
      <c r="C24" t="s">
        <v>88</v>
      </c>
      <c r="D24" t="s">
        <v>262</v>
      </c>
      <c r="E24" t="s">
        <v>263</v>
      </c>
      <c r="F24">
        <v>7.8</v>
      </c>
      <c r="G24">
        <v>51</v>
      </c>
      <c r="H24" t="s">
        <v>264</v>
      </c>
      <c r="I24" t="s">
        <v>265</v>
      </c>
      <c r="J24" t="s">
        <v>266</v>
      </c>
      <c r="K24" t="s">
        <v>267</v>
      </c>
      <c r="L24" t="s">
        <v>268</v>
      </c>
      <c r="M24">
        <v>45717</v>
      </c>
      <c r="N24" s="25">
        <v>1305</v>
      </c>
      <c r="O24" s="26">
        <v>94</v>
      </c>
      <c r="P24" t="s">
        <v>135</v>
      </c>
    </row>
    <row r="25" spans="1:16" ht="15" customHeight="1" x14ac:dyDescent="0.3">
      <c r="A25" t="s">
        <v>269</v>
      </c>
      <c r="B25" t="s">
        <v>270</v>
      </c>
      <c r="C25" t="s">
        <v>146</v>
      </c>
      <c r="D25" t="s">
        <v>271</v>
      </c>
      <c r="E25" t="s">
        <v>272</v>
      </c>
      <c r="F25">
        <v>7.6</v>
      </c>
      <c r="G25">
        <v>52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>
        <v>732876</v>
      </c>
      <c r="N25" s="25">
        <v>210614939</v>
      </c>
      <c r="O25" s="26">
        <v>117</v>
      </c>
      <c r="P25" t="s">
        <v>96</v>
      </c>
    </row>
    <row r="26" spans="1:16" ht="15" customHeight="1" x14ac:dyDescent="0.3">
      <c r="A26" t="s">
        <v>278</v>
      </c>
      <c r="B26" t="s">
        <v>68</v>
      </c>
      <c r="C26" t="s">
        <v>88</v>
      </c>
      <c r="D26" t="s">
        <v>279</v>
      </c>
      <c r="E26" t="s">
        <v>280</v>
      </c>
      <c r="F26">
        <v>7.6</v>
      </c>
      <c r="G26">
        <v>52</v>
      </c>
      <c r="H26" t="s">
        <v>281</v>
      </c>
      <c r="I26" t="s">
        <v>120</v>
      </c>
      <c r="J26" t="s">
        <v>282</v>
      </c>
      <c r="K26" t="s">
        <v>283</v>
      </c>
      <c r="L26" t="s">
        <v>284</v>
      </c>
      <c r="M26">
        <v>240714</v>
      </c>
      <c r="N26" s="25">
        <v>52990775</v>
      </c>
      <c r="O26" s="26">
        <v>124</v>
      </c>
      <c r="P26" t="s">
        <v>204</v>
      </c>
    </row>
    <row r="27" spans="1:16" ht="15" customHeight="1" x14ac:dyDescent="0.3">
      <c r="A27" t="s">
        <v>285</v>
      </c>
      <c r="B27" t="s">
        <v>286</v>
      </c>
      <c r="C27" t="s">
        <v>99</v>
      </c>
      <c r="D27" t="s">
        <v>287</v>
      </c>
      <c r="E27" t="s">
        <v>148</v>
      </c>
      <c r="F27">
        <v>7.7</v>
      </c>
      <c r="G27">
        <v>52</v>
      </c>
      <c r="H27" t="s">
        <v>288</v>
      </c>
      <c r="I27" t="s">
        <v>289</v>
      </c>
      <c r="J27" t="s">
        <v>290</v>
      </c>
      <c r="K27" t="s">
        <v>291</v>
      </c>
      <c r="L27" t="s">
        <v>292</v>
      </c>
      <c r="M27">
        <v>434125</v>
      </c>
      <c r="N27" s="25">
        <v>63540020</v>
      </c>
      <c r="O27" s="26">
        <v>126</v>
      </c>
      <c r="P27" t="s">
        <v>96</v>
      </c>
    </row>
    <row r="28" spans="1:16" ht="15" customHeight="1" x14ac:dyDescent="0.3">
      <c r="A28" t="s">
        <v>293</v>
      </c>
      <c r="B28" t="s">
        <v>294</v>
      </c>
      <c r="C28" t="s">
        <v>99</v>
      </c>
      <c r="D28" t="s">
        <v>190</v>
      </c>
      <c r="E28" t="s">
        <v>199</v>
      </c>
      <c r="F28">
        <v>7.6</v>
      </c>
      <c r="G28">
        <v>53</v>
      </c>
      <c r="H28" t="s">
        <v>295</v>
      </c>
      <c r="I28" t="s">
        <v>296</v>
      </c>
      <c r="J28" t="s">
        <v>297</v>
      </c>
      <c r="K28" t="s">
        <v>298</v>
      </c>
      <c r="L28" t="s">
        <v>299</v>
      </c>
      <c r="M28">
        <v>293266</v>
      </c>
      <c r="N28" s="25">
        <v>255959475</v>
      </c>
      <c r="O28" s="26">
        <v>129</v>
      </c>
      <c r="P28" t="s">
        <v>204</v>
      </c>
    </row>
    <row r="29" spans="1:16" ht="15" customHeight="1" x14ac:dyDescent="0.3">
      <c r="A29" t="s">
        <v>300</v>
      </c>
      <c r="B29" t="s">
        <v>77</v>
      </c>
      <c r="C29" t="s">
        <v>146</v>
      </c>
      <c r="D29" t="s">
        <v>100</v>
      </c>
      <c r="E29" t="s">
        <v>301</v>
      </c>
      <c r="F29">
        <v>7.8</v>
      </c>
      <c r="G29">
        <v>53</v>
      </c>
      <c r="H29" t="s">
        <v>302</v>
      </c>
      <c r="I29" t="s">
        <v>303</v>
      </c>
      <c r="J29" t="s">
        <v>304</v>
      </c>
      <c r="K29" t="s">
        <v>305</v>
      </c>
      <c r="L29" t="s">
        <v>306</v>
      </c>
      <c r="M29">
        <v>520284</v>
      </c>
      <c r="N29" s="25">
        <v>81001787</v>
      </c>
      <c r="O29" s="26">
        <v>123</v>
      </c>
      <c r="P29" t="s">
        <v>71</v>
      </c>
    </row>
    <row r="30" spans="1:16" ht="15" customHeight="1" x14ac:dyDescent="0.3">
      <c r="A30" t="s">
        <v>307</v>
      </c>
      <c r="B30" t="s">
        <v>68</v>
      </c>
      <c r="C30" t="s">
        <v>146</v>
      </c>
      <c r="D30" t="s">
        <v>215</v>
      </c>
      <c r="E30" t="s">
        <v>308</v>
      </c>
      <c r="F30">
        <v>7.6</v>
      </c>
      <c r="G30">
        <v>53</v>
      </c>
      <c r="H30" t="s">
        <v>309</v>
      </c>
      <c r="I30" t="s">
        <v>310</v>
      </c>
      <c r="J30" t="s">
        <v>311</v>
      </c>
      <c r="K30" t="s">
        <v>312</v>
      </c>
      <c r="L30" t="s">
        <v>313</v>
      </c>
      <c r="M30">
        <v>243729</v>
      </c>
      <c r="N30" s="25">
        <v>51401758</v>
      </c>
      <c r="O30" s="26">
        <v>131</v>
      </c>
      <c r="P30" t="s">
        <v>71</v>
      </c>
    </row>
    <row r="31" spans="1:16" ht="15" customHeight="1" x14ac:dyDescent="0.3">
      <c r="A31" t="s">
        <v>314</v>
      </c>
      <c r="B31" t="s">
        <v>270</v>
      </c>
      <c r="C31" t="s">
        <v>88</v>
      </c>
      <c r="D31" t="s">
        <v>315</v>
      </c>
      <c r="E31" t="s">
        <v>90</v>
      </c>
      <c r="F31">
        <v>7.7</v>
      </c>
      <c r="G31">
        <v>53</v>
      </c>
      <c r="H31" t="s">
        <v>316</v>
      </c>
      <c r="I31" t="s">
        <v>317</v>
      </c>
      <c r="J31" t="s">
        <v>318</v>
      </c>
      <c r="K31" t="s">
        <v>319</v>
      </c>
      <c r="L31" t="s">
        <v>320</v>
      </c>
      <c r="M31">
        <v>299524</v>
      </c>
      <c r="N31" s="25">
        <v>22494487</v>
      </c>
      <c r="O31" s="26">
        <v>110</v>
      </c>
      <c r="P31" t="s">
        <v>96</v>
      </c>
    </row>
    <row r="32" spans="1:16" ht="15" customHeight="1" x14ac:dyDescent="0.3">
      <c r="A32" t="s">
        <v>321</v>
      </c>
      <c r="B32" t="s">
        <v>137</v>
      </c>
      <c r="C32" t="s">
        <v>78</v>
      </c>
      <c r="D32" t="s">
        <v>322</v>
      </c>
      <c r="E32" t="s">
        <v>323</v>
      </c>
      <c r="F32">
        <v>8</v>
      </c>
      <c r="G32">
        <v>54</v>
      </c>
      <c r="H32" t="s">
        <v>324</v>
      </c>
      <c r="I32" t="s">
        <v>325</v>
      </c>
      <c r="J32" t="s">
        <v>232</v>
      </c>
      <c r="K32" t="s">
        <v>326</v>
      </c>
      <c r="L32" t="s">
        <v>327</v>
      </c>
      <c r="M32">
        <v>63460</v>
      </c>
      <c r="N32" s="25">
        <v>1787378</v>
      </c>
      <c r="O32" s="26">
        <v>186</v>
      </c>
      <c r="P32" t="s">
        <v>135</v>
      </c>
    </row>
    <row r="33" spans="1:16" ht="15" customHeight="1" x14ac:dyDescent="0.3">
      <c r="A33" t="s">
        <v>328</v>
      </c>
      <c r="B33" t="s">
        <v>329</v>
      </c>
      <c r="C33" t="s">
        <v>88</v>
      </c>
      <c r="D33" t="s">
        <v>108</v>
      </c>
      <c r="E33" t="s">
        <v>191</v>
      </c>
      <c r="F33">
        <v>7.7</v>
      </c>
      <c r="G33">
        <v>54</v>
      </c>
      <c r="H33" t="s">
        <v>309</v>
      </c>
      <c r="I33" t="s">
        <v>330</v>
      </c>
      <c r="J33" t="s">
        <v>331</v>
      </c>
      <c r="K33" t="s">
        <v>332</v>
      </c>
      <c r="L33" t="s">
        <v>333</v>
      </c>
      <c r="M33">
        <v>102031</v>
      </c>
      <c r="N33" s="25">
        <v>7153487</v>
      </c>
      <c r="O33" s="26">
        <v>130</v>
      </c>
      <c r="P33" t="s">
        <v>172</v>
      </c>
    </row>
    <row r="34" spans="1:16" ht="15" customHeight="1" x14ac:dyDescent="0.3">
      <c r="A34" t="s">
        <v>334</v>
      </c>
      <c r="B34" t="s">
        <v>107</v>
      </c>
      <c r="C34" t="s">
        <v>88</v>
      </c>
      <c r="D34" t="s">
        <v>100</v>
      </c>
      <c r="E34" t="s">
        <v>335</v>
      </c>
      <c r="F34">
        <v>7.8</v>
      </c>
      <c r="G34">
        <v>55</v>
      </c>
      <c r="H34" t="s">
        <v>336</v>
      </c>
      <c r="I34" t="s">
        <v>337</v>
      </c>
      <c r="J34" t="s">
        <v>305</v>
      </c>
      <c r="K34" t="s">
        <v>338</v>
      </c>
      <c r="L34" t="s">
        <v>339</v>
      </c>
      <c r="M34">
        <v>303032</v>
      </c>
      <c r="N34" s="25">
        <v>15322921</v>
      </c>
      <c r="O34" s="26">
        <v>123</v>
      </c>
      <c r="P34" t="s">
        <v>135</v>
      </c>
    </row>
    <row r="35" spans="1:16" ht="15" customHeight="1" x14ac:dyDescent="0.3">
      <c r="A35" t="s">
        <v>340</v>
      </c>
      <c r="B35" t="s">
        <v>198</v>
      </c>
      <c r="C35" t="s">
        <v>99</v>
      </c>
      <c r="D35" t="s">
        <v>341</v>
      </c>
      <c r="E35" t="s">
        <v>342</v>
      </c>
      <c r="F35">
        <v>8.3000000000000007</v>
      </c>
      <c r="G35">
        <v>55</v>
      </c>
      <c r="H35" t="s">
        <v>343</v>
      </c>
      <c r="I35" t="s">
        <v>344</v>
      </c>
      <c r="J35" t="s">
        <v>227</v>
      </c>
      <c r="K35" t="s">
        <v>121</v>
      </c>
      <c r="L35" t="s">
        <v>345</v>
      </c>
      <c r="M35">
        <v>782001</v>
      </c>
      <c r="N35" s="25">
        <v>30328156</v>
      </c>
      <c r="O35" s="26">
        <v>104</v>
      </c>
      <c r="P35" t="s">
        <v>135</v>
      </c>
    </row>
    <row r="36" spans="1:16" ht="15" customHeight="1" x14ac:dyDescent="0.3">
      <c r="A36" t="s">
        <v>346</v>
      </c>
      <c r="B36" t="s">
        <v>98</v>
      </c>
      <c r="C36" t="s">
        <v>69</v>
      </c>
      <c r="D36" t="s">
        <v>262</v>
      </c>
      <c r="E36" t="s">
        <v>308</v>
      </c>
      <c r="F36">
        <v>7.8</v>
      </c>
      <c r="G36">
        <v>55</v>
      </c>
      <c r="H36" t="s">
        <v>347</v>
      </c>
      <c r="I36" t="s">
        <v>348</v>
      </c>
      <c r="J36" t="s">
        <v>349</v>
      </c>
      <c r="K36" t="s">
        <v>350</v>
      </c>
      <c r="L36" t="s">
        <v>351</v>
      </c>
      <c r="M36">
        <v>190748</v>
      </c>
      <c r="N36" s="25">
        <v>9030581</v>
      </c>
      <c r="O36" s="26">
        <v>94</v>
      </c>
      <c r="P36" t="s">
        <v>71</v>
      </c>
    </row>
    <row r="37" spans="1:16" ht="15" customHeight="1" x14ac:dyDescent="0.3">
      <c r="A37" t="s">
        <v>352</v>
      </c>
      <c r="B37" t="s">
        <v>137</v>
      </c>
      <c r="C37" t="s">
        <v>99</v>
      </c>
      <c r="D37" t="s">
        <v>353</v>
      </c>
      <c r="E37" t="s">
        <v>272</v>
      </c>
      <c r="F37">
        <v>7.7</v>
      </c>
      <c r="G37">
        <v>55</v>
      </c>
      <c r="H37" t="s">
        <v>354</v>
      </c>
      <c r="I37" t="s">
        <v>355</v>
      </c>
      <c r="J37" t="s">
        <v>356</v>
      </c>
      <c r="K37" t="s">
        <v>357</v>
      </c>
      <c r="L37" t="s">
        <v>358</v>
      </c>
      <c r="M37">
        <v>400049</v>
      </c>
      <c r="N37" s="25">
        <v>111110575</v>
      </c>
      <c r="O37" s="26">
        <v>154</v>
      </c>
      <c r="P37" t="s">
        <v>96</v>
      </c>
    </row>
    <row r="38" spans="1:16" ht="15" customHeight="1" x14ac:dyDescent="0.3">
      <c r="A38" t="s">
        <v>359</v>
      </c>
      <c r="B38" t="s">
        <v>164</v>
      </c>
      <c r="C38" t="s">
        <v>78</v>
      </c>
      <c r="D38" t="s">
        <v>360</v>
      </c>
      <c r="E38" t="s">
        <v>361</v>
      </c>
      <c r="F38">
        <v>7.8</v>
      </c>
      <c r="G38">
        <v>55</v>
      </c>
      <c r="H38" t="s">
        <v>362</v>
      </c>
      <c r="I38" t="s">
        <v>363</v>
      </c>
      <c r="J38" t="s">
        <v>364</v>
      </c>
      <c r="K38" t="s">
        <v>365</v>
      </c>
      <c r="L38" t="s">
        <v>366</v>
      </c>
      <c r="M38">
        <v>78963</v>
      </c>
      <c r="N38" s="25">
        <v>32416586</v>
      </c>
      <c r="O38" s="26">
        <v>101</v>
      </c>
      <c r="P38" t="s">
        <v>135</v>
      </c>
    </row>
    <row r="39" spans="1:16" ht="15" customHeight="1" x14ac:dyDescent="0.3">
      <c r="A39" t="s">
        <v>367</v>
      </c>
      <c r="B39" t="s">
        <v>77</v>
      </c>
      <c r="C39" t="s">
        <v>69</v>
      </c>
      <c r="D39" t="s">
        <v>368</v>
      </c>
      <c r="E39" t="s">
        <v>369</v>
      </c>
      <c r="F39">
        <v>7.9</v>
      </c>
      <c r="G39">
        <v>56</v>
      </c>
      <c r="H39" t="s">
        <v>370</v>
      </c>
      <c r="I39" t="s">
        <v>371</v>
      </c>
      <c r="J39" t="s">
        <v>372</v>
      </c>
      <c r="K39" t="s">
        <v>373</v>
      </c>
      <c r="L39" t="s">
        <v>374</v>
      </c>
      <c r="M39">
        <v>57430</v>
      </c>
      <c r="N39" s="25">
        <v>3635164</v>
      </c>
      <c r="O39" s="26">
        <v>97</v>
      </c>
      <c r="P39" t="s">
        <v>71</v>
      </c>
    </row>
    <row r="40" spans="1:16" ht="15" customHeight="1" x14ac:dyDescent="0.3">
      <c r="A40" t="s">
        <v>375</v>
      </c>
      <c r="B40" t="s">
        <v>294</v>
      </c>
      <c r="C40" t="s">
        <v>146</v>
      </c>
      <c r="D40" t="s">
        <v>376</v>
      </c>
      <c r="E40" t="s">
        <v>377</v>
      </c>
      <c r="F40">
        <v>7.6</v>
      </c>
      <c r="G40">
        <v>56</v>
      </c>
      <c r="H40" t="s">
        <v>273</v>
      </c>
      <c r="I40" t="s">
        <v>378</v>
      </c>
      <c r="J40" t="s">
        <v>379</v>
      </c>
      <c r="K40" t="s">
        <v>380</v>
      </c>
      <c r="L40" t="s">
        <v>381</v>
      </c>
      <c r="M40">
        <v>500799</v>
      </c>
      <c r="N40" s="25">
        <v>107509799</v>
      </c>
      <c r="O40" s="26">
        <v>162</v>
      </c>
      <c r="P40" t="s">
        <v>96</v>
      </c>
    </row>
    <row r="41" spans="1:16" ht="15" customHeight="1" x14ac:dyDescent="0.3">
      <c r="A41" t="s">
        <v>382</v>
      </c>
      <c r="B41" t="s">
        <v>164</v>
      </c>
      <c r="C41" t="s">
        <v>88</v>
      </c>
      <c r="D41" t="s">
        <v>79</v>
      </c>
      <c r="E41" t="s">
        <v>90</v>
      </c>
      <c r="F41">
        <v>7.6</v>
      </c>
      <c r="G41">
        <v>56</v>
      </c>
      <c r="H41" t="s">
        <v>383</v>
      </c>
      <c r="I41" t="s">
        <v>384</v>
      </c>
      <c r="J41" t="s">
        <v>385</v>
      </c>
      <c r="K41" t="s">
        <v>386</v>
      </c>
      <c r="L41" t="s">
        <v>387</v>
      </c>
      <c r="M41">
        <v>171640</v>
      </c>
      <c r="N41" s="25">
        <v>40903593</v>
      </c>
      <c r="O41" s="26">
        <v>113</v>
      </c>
      <c r="P41" t="s">
        <v>96</v>
      </c>
    </row>
    <row r="42" spans="1:16" ht="15" customHeight="1" x14ac:dyDescent="0.3">
      <c r="A42" t="s">
        <v>388</v>
      </c>
      <c r="B42" t="s">
        <v>389</v>
      </c>
      <c r="C42" t="s">
        <v>88</v>
      </c>
      <c r="D42" t="s">
        <v>190</v>
      </c>
      <c r="E42" t="s">
        <v>223</v>
      </c>
      <c r="F42">
        <v>7.6</v>
      </c>
      <c r="G42">
        <v>56</v>
      </c>
      <c r="H42" t="s">
        <v>390</v>
      </c>
      <c r="I42" t="s">
        <v>391</v>
      </c>
      <c r="J42" t="s">
        <v>392</v>
      </c>
      <c r="K42" t="s">
        <v>393</v>
      </c>
      <c r="L42" t="s">
        <v>394</v>
      </c>
      <c r="M42">
        <v>62659</v>
      </c>
      <c r="N42" s="25">
        <v>45289</v>
      </c>
      <c r="O42" s="26">
        <v>129</v>
      </c>
      <c r="P42" t="s">
        <v>172</v>
      </c>
    </row>
    <row r="43" spans="1:16" ht="15" customHeight="1" x14ac:dyDescent="0.3">
      <c r="A43" t="s">
        <v>395</v>
      </c>
      <c r="B43" t="s">
        <v>294</v>
      </c>
      <c r="C43" t="s">
        <v>69</v>
      </c>
      <c r="D43" t="s">
        <v>396</v>
      </c>
      <c r="E43" t="s">
        <v>397</v>
      </c>
      <c r="F43">
        <v>7.6</v>
      </c>
      <c r="G43">
        <v>57</v>
      </c>
      <c r="H43" t="s">
        <v>343</v>
      </c>
      <c r="I43" t="s">
        <v>398</v>
      </c>
      <c r="J43" t="s">
        <v>310</v>
      </c>
      <c r="K43" t="s">
        <v>305</v>
      </c>
      <c r="L43" t="s">
        <v>399</v>
      </c>
      <c r="M43">
        <v>583158</v>
      </c>
      <c r="N43" s="25">
        <v>209028679</v>
      </c>
      <c r="O43" s="26">
        <v>128</v>
      </c>
      <c r="P43" t="s">
        <v>96</v>
      </c>
    </row>
    <row r="44" spans="1:16" ht="15" customHeight="1" x14ac:dyDescent="0.3">
      <c r="A44" t="s">
        <v>400</v>
      </c>
      <c r="B44" t="s">
        <v>401</v>
      </c>
      <c r="C44" t="s">
        <v>99</v>
      </c>
      <c r="D44" t="s">
        <v>402</v>
      </c>
      <c r="E44" t="s">
        <v>403</v>
      </c>
      <c r="F44">
        <v>8.5</v>
      </c>
      <c r="G44">
        <v>57</v>
      </c>
      <c r="H44" t="s">
        <v>404</v>
      </c>
      <c r="I44" t="s">
        <v>405</v>
      </c>
      <c r="J44" t="s">
        <v>406</v>
      </c>
      <c r="K44" t="s">
        <v>407</v>
      </c>
      <c r="L44" t="s">
        <v>408</v>
      </c>
      <c r="M44">
        <v>760360</v>
      </c>
      <c r="N44" s="25">
        <v>13182281</v>
      </c>
      <c r="O44" s="26">
        <v>112</v>
      </c>
      <c r="P44" t="s">
        <v>204</v>
      </c>
    </row>
    <row r="45" spans="1:16" ht="15" customHeight="1" x14ac:dyDescent="0.3">
      <c r="A45" t="s">
        <v>409</v>
      </c>
      <c r="B45" t="s">
        <v>180</v>
      </c>
      <c r="C45" t="s">
        <v>146</v>
      </c>
      <c r="D45" t="s">
        <v>410</v>
      </c>
      <c r="E45" t="s">
        <v>411</v>
      </c>
      <c r="F45">
        <v>8.1</v>
      </c>
      <c r="G45">
        <v>57</v>
      </c>
      <c r="H45" t="s">
        <v>412</v>
      </c>
      <c r="I45" t="s">
        <v>250</v>
      </c>
      <c r="J45" t="s">
        <v>413</v>
      </c>
      <c r="K45" t="s">
        <v>414</v>
      </c>
      <c r="L45" t="s">
        <v>415</v>
      </c>
      <c r="M45">
        <v>371271</v>
      </c>
      <c r="N45" s="25">
        <v>13782838</v>
      </c>
      <c r="O45" s="26">
        <v>109</v>
      </c>
      <c r="P45" t="s">
        <v>162</v>
      </c>
    </row>
    <row r="46" spans="1:16" ht="15" customHeight="1" x14ac:dyDescent="0.3">
      <c r="A46" t="s">
        <v>416</v>
      </c>
      <c r="B46" t="s">
        <v>417</v>
      </c>
      <c r="C46" t="s">
        <v>78</v>
      </c>
      <c r="D46" t="s">
        <v>418</v>
      </c>
      <c r="E46" t="s">
        <v>419</v>
      </c>
      <c r="F46">
        <v>7.8</v>
      </c>
      <c r="G46">
        <v>57</v>
      </c>
      <c r="H46" t="s">
        <v>420</v>
      </c>
      <c r="I46" t="s">
        <v>421</v>
      </c>
      <c r="J46" t="s">
        <v>422</v>
      </c>
      <c r="K46" t="s">
        <v>423</v>
      </c>
      <c r="L46" t="s">
        <v>424</v>
      </c>
      <c r="M46">
        <v>481918</v>
      </c>
      <c r="N46" s="25">
        <v>118500000</v>
      </c>
      <c r="O46" s="26">
        <v>108</v>
      </c>
      <c r="P46" t="s">
        <v>124</v>
      </c>
    </row>
    <row r="47" spans="1:16" ht="15" customHeight="1" x14ac:dyDescent="0.3">
      <c r="A47" t="s">
        <v>425</v>
      </c>
      <c r="B47" t="s">
        <v>137</v>
      </c>
      <c r="C47" t="s">
        <v>78</v>
      </c>
      <c r="D47" t="s">
        <v>426</v>
      </c>
      <c r="E47" t="s">
        <v>427</v>
      </c>
      <c r="F47">
        <v>8</v>
      </c>
      <c r="G47">
        <v>58</v>
      </c>
      <c r="H47" t="s">
        <v>428</v>
      </c>
      <c r="I47" t="s">
        <v>429</v>
      </c>
      <c r="J47" t="s">
        <v>430</v>
      </c>
      <c r="K47" t="s">
        <v>431</v>
      </c>
      <c r="L47" t="s">
        <v>432</v>
      </c>
      <c r="M47">
        <v>415218</v>
      </c>
      <c r="N47" s="25">
        <v>66257002</v>
      </c>
      <c r="O47" s="26">
        <v>125</v>
      </c>
      <c r="P47" t="s">
        <v>124</v>
      </c>
    </row>
    <row r="48" spans="1:16" ht="15" customHeight="1" x14ac:dyDescent="0.3">
      <c r="A48" t="s">
        <v>433</v>
      </c>
      <c r="B48" t="s">
        <v>434</v>
      </c>
      <c r="C48" t="s">
        <v>99</v>
      </c>
      <c r="D48" t="s">
        <v>435</v>
      </c>
      <c r="E48" t="s">
        <v>436</v>
      </c>
      <c r="F48">
        <v>7.8</v>
      </c>
      <c r="G48">
        <v>58</v>
      </c>
      <c r="H48" t="s">
        <v>437</v>
      </c>
      <c r="I48" t="s">
        <v>438</v>
      </c>
      <c r="J48" t="s">
        <v>439</v>
      </c>
      <c r="K48" t="s">
        <v>440</v>
      </c>
      <c r="L48" t="s">
        <v>441</v>
      </c>
      <c r="M48">
        <v>757377</v>
      </c>
      <c r="N48" s="25">
        <v>303003568</v>
      </c>
      <c r="O48" s="26">
        <v>169</v>
      </c>
      <c r="P48" t="s">
        <v>124</v>
      </c>
    </row>
    <row r="49" spans="1:16" ht="15" customHeight="1" x14ac:dyDescent="0.3">
      <c r="A49" t="s">
        <v>442</v>
      </c>
      <c r="B49" t="s">
        <v>116</v>
      </c>
      <c r="C49" t="s">
        <v>78</v>
      </c>
      <c r="D49" t="s">
        <v>435</v>
      </c>
      <c r="E49" t="s">
        <v>443</v>
      </c>
      <c r="F49">
        <v>8.1</v>
      </c>
      <c r="G49">
        <v>58</v>
      </c>
      <c r="H49" t="s">
        <v>216</v>
      </c>
      <c r="I49" t="s">
        <v>444</v>
      </c>
      <c r="J49" t="s">
        <v>445</v>
      </c>
      <c r="K49" t="s">
        <v>446</v>
      </c>
      <c r="L49" t="s">
        <v>447</v>
      </c>
      <c r="M49">
        <v>59020</v>
      </c>
      <c r="N49" s="25">
        <v>259127</v>
      </c>
      <c r="O49" s="26">
        <v>169</v>
      </c>
      <c r="P49" t="s">
        <v>71</v>
      </c>
    </row>
    <row r="50" spans="1:16" ht="15" customHeight="1" x14ac:dyDescent="0.3">
      <c r="A50" t="s">
        <v>448</v>
      </c>
      <c r="B50" t="s">
        <v>449</v>
      </c>
      <c r="C50" t="s">
        <v>78</v>
      </c>
      <c r="D50" t="s">
        <v>215</v>
      </c>
      <c r="E50" t="s">
        <v>450</v>
      </c>
      <c r="F50">
        <v>8.3000000000000007</v>
      </c>
      <c r="G50">
        <v>58</v>
      </c>
      <c r="H50" t="s">
        <v>451</v>
      </c>
      <c r="I50" t="s">
        <v>452</v>
      </c>
      <c r="J50" t="s">
        <v>453</v>
      </c>
      <c r="K50" t="s">
        <v>454</v>
      </c>
      <c r="L50" t="s">
        <v>455</v>
      </c>
      <c r="M50">
        <v>950470</v>
      </c>
      <c r="N50" s="25">
        <v>309125409</v>
      </c>
      <c r="O50" s="26">
        <v>131</v>
      </c>
      <c r="P50" t="s">
        <v>96</v>
      </c>
    </row>
    <row r="51" spans="1:16" ht="15" customHeight="1" x14ac:dyDescent="0.3">
      <c r="A51" t="s">
        <v>456</v>
      </c>
      <c r="B51" t="s">
        <v>457</v>
      </c>
      <c r="C51" t="s">
        <v>88</v>
      </c>
      <c r="D51" t="s">
        <v>458</v>
      </c>
      <c r="E51" t="s">
        <v>280</v>
      </c>
      <c r="F51">
        <v>8</v>
      </c>
      <c r="G51">
        <v>58</v>
      </c>
      <c r="H51" t="s">
        <v>459</v>
      </c>
      <c r="I51" t="s">
        <v>460</v>
      </c>
      <c r="J51" t="s">
        <v>461</v>
      </c>
      <c r="K51" t="s">
        <v>462</v>
      </c>
      <c r="L51" t="s">
        <v>463</v>
      </c>
      <c r="M51">
        <v>121627</v>
      </c>
      <c r="N51" s="25">
        <v>53267000</v>
      </c>
      <c r="O51" s="26">
        <v>151</v>
      </c>
      <c r="P51" t="s">
        <v>204</v>
      </c>
    </row>
    <row r="52" spans="1:16" ht="15" customHeight="1" x14ac:dyDescent="0.3">
      <c r="A52" t="s">
        <v>464</v>
      </c>
      <c r="B52" t="s">
        <v>465</v>
      </c>
      <c r="C52" t="s">
        <v>146</v>
      </c>
      <c r="D52" t="s">
        <v>396</v>
      </c>
      <c r="E52" t="s">
        <v>466</v>
      </c>
      <c r="F52">
        <v>7.6</v>
      </c>
      <c r="G52">
        <v>58</v>
      </c>
      <c r="H52" t="s">
        <v>149</v>
      </c>
      <c r="I52" t="s">
        <v>289</v>
      </c>
      <c r="J52" t="s">
        <v>467</v>
      </c>
      <c r="K52" t="s">
        <v>468</v>
      </c>
      <c r="L52" t="s">
        <v>469</v>
      </c>
      <c r="M52">
        <v>364420</v>
      </c>
      <c r="N52" s="25">
        <v>100012499</v>
      </c>
      <c r="O52" s="26">
        <v>128</v>
      </c>
      <c r="P52" t="s">
        <v>96</v>
      </c>
    </row>
    <row r="53" spans="1:16" ht="15" customHeight="1" x14ac:dyDescent="0.3">
      <c r="A53" t="s">
        <v>470</v>
      </c>
      <c r="B53" t="s">
        <v>471</v>
      </c>
      <c r="C53" t="s">
        <v>99</v>
      </c>
      <c r="D53" t="s">
        <v>418</v>
      </c>
      <c r="E53" t="s">
        <v>472</v>
      </c>
      <c r="F53">
        <v>7.9</v>
      </c>
      <c r="G53">
        <v>58</v>
      </c>
      <c r="H53" t="s">
        <v>473</v>
      </c>
      <c r="I53" t="s">
        <v>474</v>
      </c>
      <c r="J53" t="s">
        <v>475</v>
      </c>
      <c r="K53" t="s">
        <v>476</v>
      </c>
      <c r="L53" t="s">
        <v>473</v>
      </c>
      <c r="M53">
        <v>297918</v>
      </c>
      <c r="N53" s="25">
        <v>349555</v>
      </c>
      <c r="O53" s="26">
        <v>108</v>
      </c>
      <c r="P53" t="s">
        <v>135</v>
      </c>
    </row>
    <row r="54" spans="1:16" ht="15" customHeight="1" x14ac:dyDescent="0.3">
      <c r="A54" t="s">
        <v>477</v>
      </c>
      <c r="B54" t="s">
        <v>164</v>
      </c>
      <c r="C54" t="s">
        <v>88</v>
      </c>
      <c r="D54" t="s">
        <v>478</v>
      </c>
      <c r="E54" t="s">
        <v>479</v>
      </c>
      <c r="F54">
        <v>7.9</v>
      </c>
      <c r="G54">
        <v>59</v>
      </c>
      <c r="H54" t="s">
        <v>175</v>
      </c>
      <c r="I54" t="s">
        <v>331</v>
      </c>
      <c r="J54" t="s">
        <v>480</v>
      </c>
      <c r="K54" t="s">
        <v>481</v>
      </c>
      <c r="L54" t="s">
        <v>251</v>
      </c>
      <c r="M54">
        <v>206918</v>
      </c>
      <c r="N54" s="25">
        <v>12281500</v>
      </c>
      <c r="O54" s="26">
        <v>119</v>
      </c>
      <c r="P54" t="s">
        <v>172</v>
      </c>
    </row>
    <row r="55" spans="1:16" ht="15" customHeight="1" x14ac:dyDescent="0.3">
      <c r="A55" t="s">
        <v>482</v>
      </c>
      <c r="B55" t="s">
        <v>483</v>
      </c>
      <c r="C55" t="s">
        <v>146</v>
      </c>
      <c r="D55" t="s">
        <v>484</v>
      </c>
      <c r="E55" t="s">
        <v>280</v>
      </c>
      <c r="F55">
        <v>7.6</v>
      </c>
      <c r="G55">
        <v>59</v>
      </c>
      <c r="H55" t="s">
        <v>183</v>
      </c>
      <c r="I55" t="s">
        <v>485</v>
      </c>
      <c r="J55" t="s">
        <v>486</v>
      </c>
      <c r="K55" t="s">
        <v>487</v>
      </c>
      <c r="L55" t="s">
        <v>488</v>
      </c>
      <c r="M55">
        <v>73662</v>
      </c>
      <c r="N55" s="25">
        <v>35000000</v>
      </c>
      <c r="O55" s="26">
        <v>121</v>
      </c>
      <c r="P55" t="s">
        <v>204</v>
      </c>
    </row>
    <row r="56" spans="1:16" ht="15" customHeight="1" x14ac:dyDescent="0.3">
      <c r="A56" t="s">
        <v>489</v>
      </c>
      <c r="B56" t="s">
        <v>471</v>
      </c>
      <c r="C56" t="s">
        <v>146</v>
      </c>
      <c r="D56" t="s">
        <v>490</v>
      </c>
      <c r="E56" t="s">
        <v>223</v>
      </c>
      <c r="F56">
        <v>8.5</v>
      </c>
      <c r="G56">
        <v>59</v>
      </c>
      <c r="H56" t="s">
        <v>491</v>
      </c>
      <c r="I56" t="s">
        <v>492</v>
      </c>
      <c r="J56" t="s">
        <v>225</v>
      </c>
      <c r="K56" t="s">
        <v>493</v>
      </c>
      <c r="L56" t="s">
        <v>494</v>
      </c>
      <c r="M56">
        <v>939252</v>
      </c>
      <c r="N56" s="25">
        <v>335451311</v>
      </c>
      <c r="O56" s="26">
        <v>122</v>
      </c>
      <c r="P56" t="s">
        <v>172</v>
      </c>
    </row>
    <row r="57" spans="1:16" ht="15" customHeight="1" x14ac:dyDescent="0.3">
      <c r="A57" t="s">
        <v>495</v>
      </c>
      <c r="B57" t="s">
        <v>286</v>
      </c>
      <c r="C57" t="s">
        <v>78</v>
      </c>
      <c r="D57" t="s">
        <v>496</v>
      </c>
      <c r="E57" t="s">
        <v>129</v>
      </c>
      <c r="F57">
        <v>8.6</v>
      </c>
      <c r="G57">
        <v>59</v>
      </c>
      <c r="H57" t="s">
        <v>497</v>
      </c>
      <c r="I57" t="s">
        <v>497</v>
      </c>
      <c r="J57" t="s">
        <v>498</v>
      </c>
      <c r="K57" t="s">
        <v>499</v>
      </c>
      <c r="L57" t="s">
        <v>500</v>
      </c>
      <c r="M57">
        <v>623629</v>
      </c>
      <c r="N57" s="25">
        <v>57598247</v>
      </c>
      <c r="O57" s="26">
        <v>116</v>
      </c>
      <c r="P57" t="s">
        <v>135</v>
      </c>
    </row>
    <row r="58" spans="1:16" ht="15" customHeight="1" x14ac:dyDescent="0.3">
      <c r="A58" t="s">
        <v>501</v>
      </c>
      <c r="B58" t="s">
        <v>502</v>
      </c>
      <c r="C58" t="s">
        <v>99</v>
      </c>
      <c r="D58" t="s">
        <v>503</v>
      </c>
      <c r="E58" t="s">
        <v>71</v>
      </c>
      <c r="F58">
        <v>8</v>
      </c>
      <c r="G58">
        <v>59</v>
      </c>
      <c r="H58" t="s">
        <v>504</v>
      </c>
      <c r="I58" t="s">
        <v>505</v>
      </c>
      <c r="J58" t="s">
        <v>506</v>
      </c>
      <c r="K58" t="s">
        <v>507</v>
      </c>
      <c r="L58" t="s">
        <v>508</v>
      </c>
      <c r="M58">
        <v>263918</v>
      </c>
      <c r="N58" s="25">
        <v>63895607</v>
      </c>
      <c r="O58" s="26">
        <v>156</v>
      </c>
      <c r="P58" t="s">
        <v>71</v>
      </c>
    </row>
    <row r="59" spans="1:16" ht="15" customHeight="1" x14ac:dyDescent="0.3">
      <c r="A59" t="s">
        <v>509</v>
      </c>
      <c r="B59" t="s">
        <v>510</v>
      </c>
      <c r="C59" t="s">
        <v>69</v>
      </c>
      <c r="D59" t="s">
        <v>360</v>
      </c>
      <c r="E59" t="s">
        <v>71</v>
      </c>
      <c r="F59">
        <v>7.6</v>
      </c>
      <c r="G59">
        <v>60</v>
      </c>
      <c r="H59" t="s">
        <v>511</v>
      </c>
      <c r="I59" t="s">
        <v>512</v>
      </c>
      <c r="J59" t="s">
        <v>513</v>
      </c>
      <c r="K59" t="s">
        <v>514</v>
      </c>
      <c r="L59" t="s">
        <v>515</v>
      </c>
      <c r="M59">
        <v>99643</v>
      </c>
      <c r="N59" s="25">
        <v>24801212</v>
      </c>
      <c r="O59" s="26">
        <v>101</v>
      </c>
      <c r="P59" t="s">
        <v>71</v>
      </c>
    </row>
    <row r="60" spans="1:16" ht="15" customHeight="1" x14ac:dyDescent="0.3">
      <c r="A60" t="s">
        <v>516</v>
      </c>
      <c r="B60" t="s">
        <v>137</v>
      </c>
      <c r="C60" t="s">
        <v>88</v>
      </c>
      <c r="D60" t="s">
        <v>517</v>
      </c>
      <c r="E60" t="s">
        <v>166</v>
      </c>
      <c r="F60">
        <v>8</v>
      </c>
      <c r="G60">
        <v>60</v>
      </c>
      <c r="H60" t="s">
        <v>518</v>
      </c>
      <c r="I60" t="s">
        <v>519</v>
      </c>
      <c r="J60" t="s">
        <v>520</v>
      </c>
      <c r="K60" t="s">
        <v>521</v>
      </c>
      <c r="L60" t="s">
        <v>522</v>
      </c>
      <c r="M60">
        <v>137963</v>
      </c>
      <c r="N60" s="25">
        <v>1530386</v>
      </c>
      <c r="O60" s="26">
        <v>178</v>
      </c>
      <c r="P60" t="s">
        <v>172</v>
      </c>
    </row>
    <row r="61" spans="1:16" ht="15" customHeight="1" x14ac:dyDescent="0.3">
      <c r="A61" t="s">
        <v>523</v>
      </c>
      <c r="B61" t="s">
        <v>68</v>
      </c>
      <c r="C61" t="s">
        <v>88</v>
      </c>
      <c r="D61" t="s">
        <v>524</v>
      </c>
      <c r="E61" t="s">
        <v>525</v>
      </c>
      <c r="F61">
        <v>7.7</v>
      </c>
      <c r="G61">
        <v>60</v>
      </c>
      <c r="H61" t="s">
        <v>526</v>
      </c>
      <c r="I61" t="s">
        <v>527</v>
      </c>
      <c r="J61" t="s">
        <v>528</v>
      </c>
      <c r="K61" t="s">
        <v>529</v>
      </c>
      <c r="L61" t="s">
        <v>530</v>
      </c>
      <c r="M61">
        <v>90842</v>
      </c>
      <c r="N61" s="25">
        <v>141072</v>
      </c>
      <c r="O61" s="26">
        <v>120</v>
      </c>
      <c r="P61" t="s">
        <v>71</v>
      </c>
    </row>
    <row r="62" spans="1:16" ht="15" customHeight="1" x14ac:dyDescent="0.3">
      <c r="A62" t="s">
        <v>531</v>
      </c>
      <c r="B62" t="s">
        <v>532</v>
      </c>
      <c r="C62" t="s">
        <v>146</v>
      </c>
      <c r="D62" t="s">
        <v>376</v>
      </c>
      <c r="E62" t="s">
        <v>166</v>
      </c>
      <c r="F62">
        <v>7.6</v>
      </c>
      <c r="G62">
        <v>60</v>
      </c>
      <c r="H62" t="s">
        <v>533</v>
      </c>
      <c r="I62" t="s">
        <v>505</v>
      </c>
      <c r="J62" t="s">
        <v>534</v>
      </c>
      <c r="K62" t="s">
        <v>535</v>
      </c>
      <c r="L62" t="s">
        <v>536</v>
      </c>
      <c r="M62">
        <v>359809</v>
      </c>
      <c r="N62" s="25">
        <v>66666062</v>
      </c>
      <c r="O62" s="26">
        <v>162</v>
      </c>
      <c r="P62" t="s">
        <v>172</v>
      </c>
    </row>
    <row r="63" spans="1:16" ht="15" customHeight="1" x14ac:dyDescent="0.3">
      <c r="A63" t="s">
        <v>537</v>
      </c>
      <c r="B63" t="s">
        <v>538</v>
      </c>
      <c r="C63" t="s">
        <v>78</v>
      </c>
      <c r="D63" t="s">
        <v>539</v>
      </c>
      <c r="E63" t="s">
        <v>540</v>
      </c>
      <c r="F63">
        <v>7.9</v>
      </c>
      <c r="G63">
        <v>60</v>
      </c>
      <c r="H63" t="s">
        <v>541</v>
      </c>
      <c r="I63" t="s">
        <v>542</v>
      </c>
      <c r="J63" t="s">
        <v>543</v>
      </c>
      <c r="K63" t="s">
        <v>544</v>
      </c>
      <c r="L63" t="s">
        <v>545</v>
      </c>
      <c r="M63">
        <v>183182</v>
      </c>
      <c r="N63" s="25">
        <v>57229890</v>
      </c>
      <c r="O63" s="26">
        <v>133</v>
      </c>
      <c r="P63" t="s">
        <v>96</v>
      </c>
    </row>
    <row r="64" spans="1:16" ht="15" customHeight="1" x14ac:dyDescent="0.3">
      <c r="A64" t="s">
        <v>546</v>
      </c>
      <c r="B64" t="s">
        <v>547</v>
      </c>
      <c r="C64" t="s">
        <v>146</v>
      </c>
      <c r="D64" t="s">
        <v>190</v>
      </c>
      <c r="E64" t="s">
        <v>540</v>
      </c>
      <c r="F64">
        <v>7.7</v>
      </c>
      <c r="G64">
        <v>60</v>
      </c>
      <c r="H64" t="s">
        <v>548</v>
      </c>
      <c r="I64" t="s">
        <v>549</v>
      </c>
      <c r="J64" t="s">
        <v>550</v>
      </c>
      <c r="K64" t="s">
        <v>468</v>
      </c>
      <c r="L64" t="s">
        <v>551</v>
      </c>
      <c r="M64">
        <v>590440</v>
      </c>
      <c r="N64" s="25">
        <v>128261724</v>
      </c>
      <c r="O64" s="26">
        <v>129</v>
      </c>
      <c r="P64" t="s">
        <v>96</v>
      </c>
    </row>
    <row r="65" spans="1:16" ht="15" customHeight="1" x14ac:dyDescent="0.3">
      <c r="A65" t="s">
        <v>552</v>
      </c>
      <c r="B65" t="s">
        <v>329</v>
      </c>
      <c r="C65" t="s">
        <v>78</v>
      </c>
      <c r="D65" t="s">
        <v>155</v>
      </c>
      <c r="E65" t="s">
        <v>135</v>
      </c>
      <c r="F65">
        <v>7.8</v>
      </c>
      <c r="G65">
        <v>61</v>
      </c>
      <c r="H65" t="s">
        <v>553</v>
      </c>
      <c r="I65" t="s">
        <v>554</v>
      </c>
      <c r="J65" t="s">
        <v>555</v>
      </c>
      <c r="K65" t="s">
        <v>556</v>
      </c>
      <c r="L65" t="s">
        <v>557</v>
      </c>
      <c r="M65">
        <v>321382</v>
      </c>
      <c r="N65" s="25">
        <v>70136369</v>
      </c>
      <c r="O65" s="26">
        <v>103</v>
      </c>
      <c r="P65" t="s">
        <v>135</v>
      </c>
    </row>
    <row r="66" spans="1:16" ht="15" customHeight="1" x14ac:dyDescent="0.3">
      <c r="A66" t="s">
        <v>558</v>
      </c>
      <c r="B66" t="s">
        <v>389</v>
      </c>
      <c r="C66" t="s">
        <v>69</v>
      </c>
      <c r="D66" t="s">
        <v>215</v>
      </c>
      <c r="E66" t="s">
        <v>559</v>
      </c>
      <c r="F66">
        <v>7.8</v>
      </c>
      <c r="G66">
        <v>61</v>
      </c>
      <c r="H66" t="s">
        <v>560</v>
      </c>
      <c r="I66" t="s">
        <v>561</v>
      </c>
      <c r="J66" t="s">
        <v>562</v>
      </c>
      <c r="K66" t="s">
        <v>563</v>
      </c>
      <c r="L66" t="s">
        <v>564</v>
      </c>
      <c r="M66">
        <v>129022</v>
      </c>
      <c r="N66" s="25">
        <v>54234062</v>
      </c>
      <c r="O66" s="26">
        <v>131</v>
      </c>
      <c r="P66" t="s">
        <v>96</v>
      </c>
    </row>
    <row r="67" spans="1:16" ht="15" customHeight="1" x14ac:dyDescent="0.3">
      <c r="A67" t="s">
        <v>565</v>
      </c>
      <c r="B67" t="s">
        <v>68</v>
      </c>
      <c r="C67" t="s">
        <v>78</v>
      </c>
      <c r="D67" t="s">
        <v>89</v>
      </c>
      <c r="E67" t="s">
        <v>566</v>
      </c>
      <c r="F67">
        <v>7.9</v>
      </c>
      <c r="G67">
        <v>61</v>
      </c>
      <c r="H67" t="s">
        <v>567</v>
      </c>
      <c r="I67" t="s">
        <v>568</v>
      </c>
      <c r="J67" t="s">
        <v>569</v>
      </c>
      <c r="K67" t="s">
        <v>570</v>
      </c>
      <c r="L67" t="s">
        <v>571</v>
      </c>
      <c r="M67">
        <v>42897</v>
      </c>
      <c r="N67" s="25">
        <v>1000045</v>
      </c>
      <c r="O67" s="26">
        <v>115</v>
      </c>
      <c r="P67" t="s">
        <v>572</v>
      </c>
    </row>
    <row r="68" spans="1:16" ht="15" customHeight="1" x14ac:dyDescent="0.3">
      <c r="A68" t="s">
        <v>573</v>
      </c>
      <c r="B68" t="s">
        <v>574</v>
      </c>
      <c r="C68" t="s">
        <v>146</v>
      </c>
      <c r="D68" t="s">
        <v>575</v>
      </c>
      <c r="E68" t="s">
        <v>576</v>
      </c>
      <c r="F68">
        <v>8.6</v>
      </c>
      <c r="G68">
        <v>61</v>
      </c>
      <c r="H68" t="s">
        <v>577</v>
      </c>
      <c r="I68" t="s">
        <v>578</v>
      </c>
      <c r="J68" t="s">
        <v>579</v>
      </c>
      <c r="K68" t="s">
        <v>580</v>
      </c>
      <c r="L68" t="s">
        <v>581</v>
      </c>
      <c r="M68">
        <v>1147794</v>
      </c>
      <c r="N68" s="25">
        <v>136801374</v>
      </c>
      <c r="O68" s="26">
        <v>189</v>
      </c>
      <c r="P68" t="s">
        <v>172</v>
      </c>
    </row>
    <row r="69" spans="1:16" ht="15" customHeight="1" x14ac:dyDescent="0.3">
      <c r="A69" t="s">
        <v>582</v>
      </c>
      <c r="B69" t="s">
        <v>198</v>
      </c>
      <c r="C69" t="s">
        <v>78</v>
      </c>
      <c r="D69" t="s">
        <v>583</v>
      </c>
      <c r="E69" t="s">
        <v>584</v>
      </c>
      <c r="F69">
        <v>8</v>
      </c>
      <c r="G69">
        <v>61</v>
      </c>
      <c r="H69" t="s">
        <v>518</v>
      </c>
      <c r="I69" t="s">
        <v>585</v>
      </c>
      <c r="J69" t="s">
        <v>586</v>
      </c>
      <c r="K69" t="s">
        <v>580</v>
      </c>
      <c r="L69" t="s">
        <v>587</v>
      </c>
      <c r="M69">
        <v>102285</v>
      </c>
      <c r="N69" s="25">
        <v>4184036</v>
      </c>
      <c r="O69" s="26">
        <v>140</v>
      </c>
      <c r="P69" t="s">
        <v>172</v>
      </c>
    </row>
    <row r="70" spans="1:16" ht="15" customHeight="1" x14ac:dyDescent="0.3">
      <c r="A70" t="s">
        <v>588</v>
      </c>
      <c r="B70" t="s">
        <v>77</v>
      </c>
      <c r="C70" t="s">
        <v>88</v>
      </c>
      <c r="D70" t="s">
        <v>360</v>
      </c>
      <c r="E70" t="s">
        <v>525</v>
      </c>
      <c r="F70">
        <v>7.7</v>
      </c>
      <c r="G70">
        <v>61</v>
      </c>
      <c r="H70" t="s">
        <v>589</v>
      </c>
      <c r="I70" t="s">
        <v>590</v>
      </c>
      <c r="J70" t="s">
        <v>591</v>
      </c>
      <c r="K70" t="s">
        <v>592</v>
      </c>
      <c r="L70" t="s">
        <v>593</v>
      </c>
      <c r="M70">
        <v>358432</v>
      </c>
      <c r="N70" s="25">
        <v>1082715</v>
      </c>
      <c r="O70" s="26">
        <v>101</v>
      </c>
      <c r="P70" t="s">
        <v>71</v>
      </c>
    </row>
    <row r="71" spans="1:16" ht="15" customHeight="1" x14ac:dyDescent="0.3">
      <c r="A71" t="s">
        <v>594</v>
      </c>
      <c r="B71" t="s">
        <v>180</v>
      </c>
      <c r="C71" t="s">
        <v>146</v>
      </c>
      <c r="D71" t="s">
        <v>138</v>
      </c>
      <c r="E71" t="s">
        <v>595</v>
      </c>
      <c r="F71">
        <v>7.7</v>
      </c>
      <c r="G71">
        <v>61</v>
      </c>
      <c r="H71" t="s">
        <v>596</v>
      </c>
      <c r="I71" t="s">
        <v>597</v>
      </c>
      <c r="J71" t="s">
        <v>598</v>
      </c>
      <c r="K71" t="s">
        <v>599</v>
      </c>
      <c r="L71" t="s">
        <v>600</v>
      </c>
      <c r="M71">
        <v>226541</v>
      </c>
      <c r="N71" s="25">
        <v>47212904</v>
      </c>
      <c r="O71" s="26">
        <v>93</v>
      </c>
      <c r="P71" t="s">
        <v>96</v>
      </c>
    </row>
    <row r="72" spans="1:16" ht="15" customHeight="1" x14ac:dyDescent="0.3">
      <c r="A72" t="s">
        <v>601</v>
      </c>
      <c r="B72" t="s">
        <v>286</v>
      </c>
      <c r="C72" t="s">
        <v>99</v>
      </c>
      <c r="D72" t="s">
        <v>190</v>
      </c>
      <c r="E72" t="s">
        <v>377</v>
      </c>
      <c r="F72">
        <v>7.8</v>
      </c>
      <c r="G72">
        <v>61</v>
      </c>
      <c r="H72" t="s">
        <v>602</v>
      </c>
      <c r="I72" t="s">
        <v>384</v>
      </c>
      <c r="J72" t="s">
        <v>603</v>
      </c>
      <c r="K72" t="s">
        <v>72</v>
      </c>
      <c r="L72" t="s">
        <v>507</v>
      </c>
      <c r="M72">
        <v>345096</v>
      </c>
      <c r="N72" s="25">
        <v>48323648</v>
      </c>
      <c r="O72" s="26">
        <v>129</v>
      </c>
      <c r="P72" t="s">
        <v>96</v>
      </c>
    </row>
    <row r="73" spans="1:16" ht="15" customHeight="1" x14ac:dyDescent="0.3">
      <c r="A73" t="s">
        <v>604</v>
      </c>
      <c r="B73" t="s">
        <v>145</v>
      </c>
      <c r="C73" t="s">
        <v>78</v>
      </c>
      <c r="D73" t="s">
        <v>605</v>
      </c>
      <c r="E73" t="s">
        <v>606</v>
      </c>
      <c r="F73">
        <v>7.7</v>
      </c>
      <c r="G73">
        <v>62</v>
      </c>
      <c r="H73" t="s">
        <v>607</v>
      </c>
      <c r="I73" t="s">
        <v>590</v>
      </c>
      <c r="J73" t="s">
        <v>608</v>
      </c>
      <c r="K73" t="s">
        <v>609</v>
      </c>
      <c r="L73" t="s">
        <v>610</v>
      </c>
      <c r="M73">
        <v>115677</v>
      </c>
      <c r="N73" s="25">
        <v>22238696</v>
      </c>
      <c r="O73" s="26">
        <v>153</v>
      </c>
      <c r="P73" t="s">
        <v>96</v>
      </c>
    </row>
    <row r="74" spans="1:16" ht="15" customHeight="1" x14ac:dyDescent="0.3">
      <c r="A74" t="s">
        <v>611</v>
      </c>
      <c r="B74" t="s">
        <v>502</v>
      </c>
      <c r="C74" t="s">
        <v>78</v>
      </c>
      <c r="D74" t="s">
        <v>612</v>
      </c>
      <c r="E74" t="s">
        <v>525</v>
      </c>
      <c r="F74">
        <v>7.7</v>
      </c>
      <c r="G74">
        <v>62</v>
      </c>
      <c r="H74" t="s">
        <v>130</v>
      </c>
      <c r="I74" t="s">
        <v>355</v>
      </c>
      <c r="J74" t="s">
        <v>613</v>
      </c>
      <c r="K74" t="s">
        <v>614</v>
      </c>
      <c r="L74" t="s">
        <v>226</v>
      </c>
      <c r="M74">
        <v>235388</v>
      </c>
      <c r="N74" s="25">
        <v>141340178</v>
      </c>
      <c r="O74" s="26">
        <v>138</v>
      </c>
      <c r="P74" t="s">
        <v>71</v>
      </c>
    </row>
    <row r="75" spans="1:16" ht="15" customHeight="1" x14ac:dyDescent="0.3">
      <c r="A75" t="s">
        <v>615</v>
      </c>
      <c r="B75" t="s">
        <v>401</v>
      </c>
      <c r="C75" t="s">
        <v>99</v>
      </c>
      <c r="D75" t="s">
        <v>174</v>
      </c>
      <c r="E75" t="s">
        <v>71</v>
      </c>
      <c r="F75">
        <v>8</v>
      </c>
      <c r="G75">
        <v>62</v>
      </c>
      <c r="H75" t="s">
        <v>616</v>
      </c>
      <c r="I75" t="s">
        <v>617</v>
      </c>
      <c r="J75" t="s">
        <v>618</v>
      </c>
      <c r="K75" t="s">
        <v>515</v>
      </c>
      <c r="L75" t="s">
        <v>619</v>
      </c>
      <c r="M75">
        <v>428521</v>
      </c>
      <c r="N75" s="25">
        <v>169708112</v>
      </c>
      <c r="O75" s="26">
        <v>146</v>
      </c>
      <c r="P75" t="s">
        <v>71</v>
      </c>
    </row>
    <row r="76" spans="1:16" ht="15" customHeight="1" x14ac:dyDescent="0.3">
      <c r="A76" t="s">
        <v>620</v>
      </c>
      <c r="B76" t="s">
        <v>510</v>
      </c>
      <c r="C76" t="s">
        <v>99</v>
      </c>
      <c r="D76" t="s">
        <v>262</v>
      </c>
      <c r="E76" t="s">
        <v>621</v>
      </c>
      <c r="F76">
        <v>7.8</v>
      </c>
      <c r="G76">
        <v>62</v>
      </c>
      <c r="H76" t="s">
        <v>622</v>
      </c>
      <c r="I76" t="s">
        <v>623</v>
      </c>
      <c r="J76" t="s">
        <v>624</v>
      </c>
      <c r="K76" t="s">
        <v>625</v>
      </c>
      <c r="L76" t="s">
        <v>626</v>
      </c>
      <c r="M76">
        <v>50778</v>
      </c>
      <c r="N76" s="25">
        <v>6735118</v>
      </c>
      <c r="O76" s="26">
        <v>94</v>
      </c>
      <c r="P76" t="s">
        <v>572</v>
      </c>
    </row>
    <row r="77" spans="1:16" ht="15" customHeight="1" x14ac:dyDescent="0.3">
      <c r="A77" t="s">
        <v>627</v>
      </c>
      <c r="B77" t="s">
        <v>261</v>
      </c>
      <c r="C77" t="s">
        <v>88</v>
      </c>
      <c r="D77" t="s">
        <v>490</v>
      </c>
      <c r="E77" t="s">
        <v>90</v>
      </c>
      <c r="F77">
        <v>7.6</v>
      </c>
      <c r="G77">
        <v>62</v>
      </c>
      <c r="H77" t="s">
        <v>628</v>
      </c>
      <c r="I77" t="s">
        <v>629</v>
      </c>
      <c r="J77" t="s">
        <v>630</v>
      </c>
      <c r="K77" t="s">
        <v>631</v>
      </c>
      <c r="L77" t="s">
        <v>632</v>
      </c>
      <c r="M77">
        <v>294140</v>
      </c>
      <c r="N77" s="25">
        <v>24149632</v>
      </c>
      <c r="O77" s="26">
        <v>122</v>
      </c>
      <c r="P77" t="s">
        <v>96</v>
      </c>
    </row>
    <row r="78" spans="1:16" ht="15" customHeight="1" x14ac:dyDescent="0.3">
      <c r="A78" t="s">
        <v>633</v>
      </c>
      <c r="B78" t="s">
        <v>198</v>
      </c>
      <c r="C78" t="s">
        <v>78</v>
      </c>
      <c r="D78" t="s">
        <v>155</v>
      </c>
      <c r="E78" t="s">
        <v>634</v>
      </c>
      <c r="F78">
        <v>7.7</v>
      </c>
      <c r="G78">
        <v>62</v>
      </c>
      <c r="H78" t="s">
        <v>635</v>
      </c>
      <c r="I78" t="s">
        <v>636</v>
      </c>
      <c r="J78" t="s">
        <v>637</v>
      </c>
      <c r="K78" t="s">
        <v>638</v>
      </c>
      <c r="L78" t="s">
        <v>639</v>
      </c>
      <c r="M78">
        <v>29210</v>
      </c>
      <c r="N78" s="25">
        <v>151086</v>
      </c>
      <c r="O78" s="26">
        <v>103</v>
      </c>
      <c r="P78" t="s">
        <v>572</v>
      </c>
    </row>
    <row r="79" spans="1:16" ht="15" customHeight="1" x14ac:dyDescent="0.3">
      <c r="A79" t="s">
        <v>640</v>
      </c>
      <c r="B79" t="s">
        <v>641</v>
      </c>
      <c r="C79" t="s">
        <v>78</v>
      </c>
      <c r="D79" t="s">
        <v>642</v>
      </c>
      <c r="E79" t="s">
        <v>643</v>
      </c>
      <c r="F79">
        <v>7.8</v>
      </c>
      <c r="G79">
        <v>62</v>
      </c>
      <c r="H79" t="s">
        <v>644</v>
      </c>
      <c r="I79" t="s">
        <v>645</v>
      </c>
      <c r="J79" t="s">
        <v>646</v>
      </c>
      <c r="K79" t="s">
        <v>647</v>
      </c>
      <c r="L79" t="s">
        <v>648</v>
      </c>
      <c r="M79">
        <v>244430</v>
      </c>
      <c r="N79" s="25">
        <v>61503218</v>
      </c>
      <c r="O79" s="26">
        <v>114</v>
      </c>
      <c r="P79" t="s">
        <v>124</v>
      </c>
    </row>
    <row r="80" spans="1:16" ht="15" customHeight="1" x14ac:dyDescent="0.3">
      <c r="A80" t="s">
        <v>649</v>
      </c>
      <c r="B80" t="s">
        <v>261</v>
      </c>
      <c r="C80" t="s">
        <v>146</v>
      </c>
      <c r="D80" t="s">
        <v>70</v>
      </c>
      <c r="E80" t="s">
        <v>650</v>
      </c>
      <c r="F80">
        <v>8.1999999999999993</v>
      </c>
      <c r="G80">
        <v>62</v>
      </c>
      <c r="H80" t="s">
        <v>651</v>
      </c>
      <c r="I80" t="s">
        <v>652</v>
      </c>
      <c r="J80" t="s">
        <v>653</v>
      </c>
      <c r="K80" t="s">
        <v>654</v>
      </c>
      <c r="L80" t="s">
        <v>655</v>
      </c>
      <c r="M80">
        <v>1032749</v>
      </c>
      <c r="N80" s="25">
        <v>70511035</v>
      </c>
      <c r="O80" s="26">
        <v>132</v>
      </c>
      <c r="P80" t="s">
        <v>96</v>
      </c>
    </row>
    <row r="81" spans="1:16" ht="15" customHeight="1" x14ac:dyDescent="0.3">
      <c r="A81" t="s">
        <v>656</v>
      </c>
      <c r="B81" t="s">
        <v>465</v>
      </c>
      <c r="C81" t="s">
        <v>88</v>
      </c>
      <c r="D81" t="s">
        <v>484</v>
      </c>
      <c r="E81" t="s">
        <v>427</v>
      </c>
      <c r="F81">
        <v>7.6</v>
      </c>
      <c r="G81">
        <v>62</v>
      </c>
      <c r="H81" t="s">
        <v>657</v>
      </c>
      <c r="I81" t="s">
        <v>120</v>
      </c>
      <c r="J81" t="s">
        <v>658</v>
      </c>
      <c r="K81" t="s">
        <v>659</v>
      </c>
      <c r="L81" t="s">
        <v>660</v>
      </c>
      <c r="M81">
        <v>90442</v>
      </c>
      <c r="N81" s="25">
        <v>1037847</v>
      </c>
      <c r="O81" s="26">
        <v>121</v>
      </c>
      <c r="P81" t="s">
        <v>124</v>
      </c>
    </row>
    <row r="82" spans="1:16" ht="15" customHeight="1" x14ac:dyDescent="0.3">
      <c r="A82" t="s">
        <v>661</v>
      </c>
      <c r="B82" t="s">
        <v>116</v>
      </c>
      <c r="C82" t="s">
        <v>88</v>
      </c>
      <c r="D82" t="s">
        <v>478</v>
      </c>
      <c r="E82" t="s">
        <v>71</v>
      </c>
      <c r="F82">
        <v>8.5</v>
      </c>
      <c r="G82">
        <v>62</v>
      </c>
      <c r="H82" t="s">
        <v>662</v>
      </c>
      <c r="I82" t="s">
        <v>195</v>
      </c>
      <c r="J82" t="s">
        <v>663</v>
      </c>
      <c r="K82" t="s">
        <v>664</v>
      </c>
      <c r="L82" t="s">
        <v>665</v>
      </c>
      <c r="M82">
        <v>1034705</v>
      </c>
      <c r="N82" s="25">
        <v>6719864</v>
      </c>
      <c r="O82" s="26">
        <v>119</v>
      </c>
      <c r="P82" t="s">
        <v>71</v>
      </c>
    </row>
    <row r="83" spans="1:16" ht="15" customHeight="1" x14ac:dyDescent="0.3">
      <c r="A83" t="s">
        <v>666</v>
      </c>
      <c r="B83" t="s">
        <v>294</v>
      </c>
      <c r="C83" t="s">
        <v>88</v>
      </c>
      <c r="D83" t="s">
        <v>667</v>
      </c>
      <c r="E83" t="s">
        <v>668</v>
      </c>
      <c r="F83">
        <v>7.8</v>
      </c>
      <c r="G83">
        <v>63</v>
      </c>
      <c r="H83" t="s">
        <v>669</v>
      </c>
      <c r="I83" t="s">
        <v>631</v>
      </c>
      <c r="J83" t="s">
        <v>670</v>
      </c>
      <c r="K83" t="s">
        <v>671</v>
      </c>
      <c r="L83" t="s">
        <v>672</v>
      </c>
      <c r="M83">
        <v>216421</v>
      </c>
      <c r="N83" s="25">
        <v>3600</v>
      </c>
      <c r="O83" s="26">
        <v>141</v>
      </c>
      <c r="P83" t="s">
        <v>71</v>
      </c>
    </row>
    <row r="84" spans="1:16" ht="15" customHeight="1" x14ac:dyDescent="0.3">
      <c r="A84" t="s">
        <v>673</v>
      </c>
      <c r="B84" t="s">
        <v>532</v>
      </c>
      <c r="C84" t="s">
        <v>78</v>
      </c>
      <c r="D84" t="s">
        <v>155</v>
      </c>
      <c r="E84" t="s">
        <v>674</v>
      </c>
      <c r="F84">
        <v>7.6</v>
      </c>
      <c r="G84">
        <v>63</v>
      </c>
      <c r="H84" t="s">
        <v>675</v>
      </c>
      <c r="I84" t="s">
        <v>676</v>
      </c>
      <c r="J84" t="s">
        <v>677</v>
      </c>
      <c r="K84" t="s">
        <v>678</v>
      </c>
      <c r="L84" t="s">
        <v>679</v>
      </c>
      <c r="M84">
        <v>488817</v>
      </c>
      <c r="N84" s="25">
        <v>285761243</v>
      </c>
      <c r="O84" s="26">
        <v>103</v>
      </c>
      <c r="P84" t="s">
        <v>135</v>
      </c>
    </row>
    <row r="85" spans="1:16" ht="15" customHeight="1" x14ac:dyDescent="0.3">
      <c r="A85" t="s">
        <v>680</v>
      </c>
      <c r="B85" t="s">
        <v>137</v>
      </c>
      <c r="C85" t="s">
        <v>99</v>
      </c>
      <c r="D85" t="s">
        <v>681</v>
      </c>
      <c r="E85" t="s">
        <v>450</v>
      </c>
      <c r="F85">
        <v>8</v>
      </c>
      <c r="G85">
        <v>63</v>
      </c>
      <c r="H85" t="s">
        <v>682</v>
      </c>
      <c r="I85" t="s">
        <v>120</v>
      </c>
      <c r="J85" t="s">
        <v>217</v>
      </c>
      <c r="K85" t="s">
        <v>683</v>
      </c>
      <c r="L85" t="s">
        <v>684</v>
      </c>
      <c r="M85">
        <v>1015122</v>
      </c>
      <c r="N85" s="25">
        <v>305413918</v>
      </c>
      <c r="O85" s="26">
        <v>143</v>
      </c>
      <c r="P85" t="s">
        <v>96</v>
      </c>
    </row>
    <row r="86" spans="1:16" ht="15" customHeight="1" x14ac:dyDescent="0.3">
      <c r="A86" t="s">
        <v>685</v>
      </c>
      <c r="B86" t="s">
        <v>686</v>
      </c>
      <c r="C86" t="s">
        <v>78</v>
      </c>
      <c r="D86" t="s">
        <v>687</v>
      </c>
      <c r="E86" t="s">
        <v>688</v>
      </c>
      <c r="F86">
        <v>8</v>
      </c>
      <c r="G86">
        <v>63</v>
      </c>
      <c r="H86" t="s">
        <v>689</v>
      </c>
      <c r="I86" t="s">
        <v>690</v>
      </c>
      <c r="J86" t="s">
        <v>691</v>
      </c>
      <c r="K86" t="s">
        <v>692</v>
      </c>
      <c r="L86" t="s">
        <v>693</v>
      </c>
      <c r="M86">
        <v>205425</v>
      </c>
      <c r="N86" s="25">
        <v>163214286</v>
      </c>
      <c r="O86" s="26">
        <v>172</v>
      </c>
      <c r="P86" t="s">
        <v>204</v>
      </c>
    </row>
    <row r="87" spans="1:16" ht="15" customHeight="1" x14ac:dyDescent="0.3">
      <c r="A87" t="s">
        <v>694</v>
      </c>
      <c r="B87" t="s">
        <v>98</v>
      </c>
      <c r="C87" t="s">
        <v>88</v>
      </c>
      <c r="D87" t="s">
        <v>667</v>
      </c>
      <c r="E87" t="s">
        <v>280</v>
      </c>
      <c r="F87">
        <v>7.7</v>
      </c>
      <c r="G87">
        <v>63</v>
      </c>
      <c r="H87" t="s">
        <v>242</v>
      </c>
      <c r="I87" t="s">
        <v>695</v>
      </c>
      <c r="J87" t="s">
        <v>696</v>
      </c>
      <c r="K87" t="s">
        <v>697</v>
      </c>
      <c r="L87" t="s">
        <v>698</v>
      </c>
      <c r="M87">
        <v>239203</v>
      </c>
      <c r="N87" s="25">
        <v>35739802</v>
      </c>
      <c r="O87" s="26">
        <v>141</v>
      </c>
      <c r="P87" t="s">
        <v>204</v>
      </c>
    </row>
    <row r="88" spans="1:16" ht="15" customHeight="1" x14ac:dyDescent="0.3">
      <c r="A88" t="s">
        <v>699</v>
      </c>
      <c r="B88" t="s">
        <v>126</v>
      </c>
      <c r="C88" t="s">
        <v>146</v>
      </c>
      <c r="D88" t="s">
        <v>612</v>
      </c>
      <c r="E88" t="s">
        <v>700</v>
      </c>
      <c r="F88">
        <v>8.1999999999999993</v>
      </c>
      <c r="G88">
        <v>63</v>
      </c>
      <c r="H88" t="s">
        <v>701</v>
      </c>
      <c r="I88" t="s">
        <v>702</v>
      </c>
      <c r="J88" t="s">
        <v>703</v>
      </c>
      <c r="K88" t="s">
        <v>704</v>
      </c>
      <c r="L88" t="s">
        <v>318</v>
      </c>
      <c r="M88">
        <v>1129894</v>
      </c>
      <c r="N88" s="25">
        <v>128012934</v>
      </c>
      <c r="O88" s="26">
        <v>138</v>
      </c>
      <c r="P88" t="s">
        <v>705</v>
      </c>
    </row>
    <row r="89" spans="1:16" ht="15" customHeight="1" x14ac:dyDescent="0.3">
      <c r="A89" t="s">
        <v>706</v>
      </c>
      <c r="B89" t="s">
        <v>270</v>
      </c>
      <c r="C89" t="s">
        <v>88</v>
      </c>
      <c r="D89" t="s">
        <v>271</v>
      </c>
      <c r="E89" t="s">
        <v>427</v>
      </c>
      <c r="F89">
        <v>7.9</v>
      </c>
      <c r="G89">
        <v>64</v>
      </c>
      <c r="H89" t="s">
        <v>707</v>
      </c>
      <c r="I89" t="s">
        <v>708</v>
      </c>
      <c r="J89" t="s">
        <v>709</v>
      </c>
      <c r="K89" t="s">
        <v>710</v>
      </c>
      <c r="L89" t="s">
        <v>711</v>
      </c>
      <c r="M89">
        <v>107290</v>
      </c>
      <c r="N89" s="25">
        <v>2280348</v>
      </c>
      <c r="O89" s="26">
        <v>117</v>
      </c>
      <c r="P89" t="s">
        <v>124</v>
      </c>
    </row>
    <row r="90" spans="1:16" ht="15" customHeight="1" x14ac:dyDescent="0.3">
      <c r="A90" t="s">
        <v>712</v>
      </c>
      <c r="B90" t="s">
        <v>270</v>
      </c>
      <c r="C90" t="s">
        <v>78</v>
      </c>
      <c r="D90" t="s">
        <v>271</v>
      </c>
      <c r="E90" t="s">
        <v>713</v>
      </c>
      <c r="F90">
        <v>8</v>
      </c>
      <c r="G90">
        <v>64</v>
      </c>
      <c r="H90" t="s">
        <v>101</v>
      </c>
      <c r="I90" t="s">
        <v>102</v>
      </c>
      <c r="J90" t="s">
        <v>714</v>
      </c>
      <c r="K90" t="s">
        <v>715</v>
      </c>
      <c r="L90" t="s">
        <v>716</v>
      </c>
      <c r="M90">
        <v>448930</v>
      </c>
      <c r="N90" s="25">
        <v>163566459</v>
      </c>
      <c r="O90" s="26">
        <v>117</v>
      </c>
      <c r="P90" t="s">
        <v>204</v>
      </c>
    </row>
    <row r="91" spans="1:16" ht="15" customHeight="1" x14ac:dyDescent="0.3">
      <c r="A91" t="s">
        <v>717</v>
      </c>
      <c r="B91" t="s">
        <v>574</v>
      </c>
      <c r="C91" t="s">
        <v>146</v>
      </c>
      <c r="D91" t="s">
        <v>147</v>
      </c>
      <c r="E91" t="s">
        <v>718</v>
      </c>
      <c r="F91">
        <v>8.1</v>
      </c>
      <c r="G91">
        <v>64</v>
      </c>
      <c r="H91" t="s">
        <v>719</v>
      </c>
      <c r="I91" t="s">
        <v>289</v>
      </c>
      <c r="J91" t="s">
        <v>720</v>
      </c>
      <c r="K91" t="s">
        <v>721</v>
      </c>
      <c r="L91" t="s">
        <v>722</v>
      </c>
      <c r="M91">
        <v>911573</v>
      </c>
      <c r="N91" s="25">
        <v>293506292</v>
      </c>
      <c r="O91" s="26">
        <v>107</v>
      </c>
      <c r="P91" t="s">
        <v>71</v>
      </c>
    </row>
    <row r="92" spans="1:16" ht="15" customHeight="1" x14ac:dyDescent="0.3">
      <c r="A92" t="s">
        <v>723</v>
      </c>
      <c r="B92" t="s">
        <v>502</v>
      </c>
      <c r="C92" t="s">
        <v>724</v>
      </c>
      <c r="D92" t="s">
        <v>725</v>
      </c>
      <c r="E92" t="s">
        <v>361</v>
      </c>
      <c r="F92">
        <v>7.7</v>
      </c>
      <c r="G92">
        <v>64</v>
      </c>
      <c r="H92" t="s">
        <v>726</v>
      </c>
      <c r="I92" t="s">
        <v>551</v>
      </c>
      <c r="J92" t="s">
        <v>727</v>
      </c>
      <c r="K92" t="s">
        <v>728</v>
      </c>
      <c r="L92" t="s">
        <v>729</v>
      </c>
      <c r="M92">
        <v>50298</v>
      </c>
      <c r="N92" s="25">
        <v>27281507</v>
      </c>
      <c r="O92" s="26">
        <v>85</v>
      </c>
      <c r="P92" t="s">
        <v>135</v>
      </c>
    </row>
    <row r="93" spans="1:16" ht="15" customHeight="1" x14ac:dyDescent="0.3">
      <c r="A93" t="s">
        <v>730</v>
      </c>
      <c r="B93" t="s">
        <v>77</v>
      </c>
      <c r="C93" t="s">
        <v>88</v>
      </c>
      <c r="D93" t="s">
        <v>583</v>
      </c>
      <c r="E93" t="s">
        <v>731</v>
      </c>
      <c r="F93">
        <v>8.1</v>
      </c>
      <c r="G93">
        <v>64</v>
      </c>
      <c r="H93" t="s">
        <v>732</v>
      </c>
      <c r="I93" t="s">
        <v>733</v>
      </c>
      <c r="J93" t="s">
        <v>734</v>
      </c>
      <c r="K93" t="s">
        <v>735</v>
      </c>
      <c r="L93" t="s">
        <v>736</v>
      </c>
      <c r="M93">
        <v>37820</v>
      </c>
      <c r="N93" s="25">
        <v>1111061</v>
      </c>
      <c r="O93" s="26">
        <v>140</v>
      </c>
      <c r="P93" t="s">
        <v>96</v>
      </c>
    </row>
    <row r="94" spans="1:16" ht="15" customHeight="1" x14ac:dyDescent="0.3">
      <c r="A94" t="s">
        <v>737</v>
      </c>
      <c r="B94" t="s">
        <v>68</v>
      </c>
      <c r="C94" t="s">
        <v>78</v>
      </c>
      <c r="D94" t="s">
        <v>738</v>
      </c>
      <c r="E94" t="s">
        <v>739</v>
      </c>
      <c r="F94">
        <v>7.6</v>
      </c>
      <c r="G94">
        <v>64</v>
      </c>
      <c r="H94" t="s">
        <v>675</v>
      </c>
      <c r="I94" t="s">
        <v>740</v>
      </c>
      <c r="J94" t="s">
        <v>741</v>
      </c>
      <c r="K94" t="s">
        <v>742</v>
      </c>
      <c r="L94" t="s">
        <v>743</v>
      </c>
      <c r="M94">
        <v>658185</v>
      </c>
      <c r="N94" s="25">
        <v>317575550</v>
      </c>
      <c r="O94" s="26">
        <v>152</v>
      </c>
      <c r="P94" t="s">
        <v>124</v>
      </c>
    </row>
    <row r="95" spans="1:16" ht="15" customHeight="1" x14ac:dyDescent="0.3">
      <c r="A95" t="s">
        <v>744</v>
      </c>
      <c r="B95" t="s">
        <v>286</v>
      </c>
      <c r="C95" t="s">
        <v>99</v>
      </c>
      <c r="D95" t="s">
        <v>745</v>
      </c>
      <c r="E95" t="s">
        <v>80</v>
      </c>
      <c r="F95">
        <v>7.8</v>
      </c>
      <c r="G95">
        <v>64</v>
      </c>
      <c r="H95" t="s">
        <v>628</v>
      </c>
      <c r="I95" t="s">
        <v>630</v>
      </c>
      <c r="J95" t="s">
        <v>746</v>
      </c>
      <c r="K95" t="s">
        <v>310</v>
      </c>
      <c r="L95" t="s">
        <v>747</v>
      </c>
      <c r="M95">
        <v>280845</v>
      </c>
      <c r="N95" s="25">
        <v>12339633</v>
      </c>
      <c r="O95" s="26">
        <v>106</v>
      </c>
      <c r="P95" t="s">
        <v>71</v>
      </c>
    </row>
    <row r="96" spans="1:16" ht="15" customHeight="1" x14ac:dyDescent="0.3">
      <c r="A96" t="s">
        <v>748</v>
      </c>
      <c r="B96" t="s">
        <v>749</v>
      </c>
      <c r="C96" t="s">
        <v>146</v>
      </c>
      <c r="D96" t="s">
        <v>315</v>
      </c>
      <c r="E96" t="s">
        <v>90</v>
      </c>
      <c r="F96">
        <v>8.5</v>
      </c>
      <c r="G96">
        <v>64</v>
      </c>
      <c r="H96" t="s">
        <v>288</v>
      </c>
      <c r="I96" t="s">
        <v>750</v>
      </c>
      <c r="J96" t="s">
        <v>291</v>
      </c>
      <c r="K96" t="s">
        <v>653</v>
      </c>
      <c r="L96" t="s">
        <v>751</v>
      </c>
      <c r="M96">
        <v>1035236</v>
      </c>
      <c r="N96" s="25">
        <v>19501238</v>
      </c>
      <c r="O96" s="26">
        <v>110</v>
      </c>
      <c r="P96" t="s">
        <v>96</v>
      </c>
    </row>
    <row r="97" spans="1:16" ht="15" customHeight="1" x14ac:dyDescent="0.3">
      <c r="A97" t="s">
        <v>752</v>
      </c>
      <c r="B97" t="s">
        <v>753</v>
      </c>
      <c r="C97" t="s">
        <v>69</v>
      </c>
      <c r="D97" t="s">
        <v>108</v>
      </c>
      <c r="E97" t="s">
        <v>71</v>
      </c>
      <c r="F97">
        <v>7.7</v>
      </c>
      <c r="G97">
        <v>64</v>
      </c>
      <c r="H97" t="s">
        <v>754</v>
      </c>
      <c r="I97" t="s">
        <v>755</v>
      </c>
      <c r="J97" t="s">
        <v>756</v>
      </c>
      <c r="K97" t="s">
        <v>757</v>
      </c>
      <c r="L97" t="s">
        <v>758</v>
      </c>
      <c r="M97">
        <v>66941</v>
      </c>
      <c r="N97" s="25">
        <v>82418501</v>
      </c>
      <c r="O97" s="26">
        <v>130</v>
      </c>
      <c r="P97" t="s">
        <v>71</v>
      </c>
    </row>
    <row r="98" spans="1:16" ht="15" customHeight="1" x14ac:dyDescent="0.3">
      <c r="A98" t="s">
        <v>759</v>
      </c>
      <c r="B98" t="s">
        <v>270</v>
      </c>
      <c r="C98" t="s">
        <v>146</v>
      </c>
      <c r="D98" t="s">
        <v>681</v>
      </c>
      <c r="E98" t="s">
        <v>760</v>
      </c>
      <c r="F98">
        <v>8</v>
      </c>
      <c r="G98">
        <v>64</v>
      </c>
      <c r="H98" t="s">
        <v>354</v>
      </c>
      <c r="I98" t="s">
        <v>702</v>
      </c>
      <c r="J98" t="s">
        <v>761</v>
      </c>
      <c r="K98" t="s">
        <v>762</v>
      </c>
      <c r="L98" t="s">
        <v>763</v>
      </c>
      <c r="M98">
        <v>499439</v>
      </c>
      <c r="N98" s="25">
        <v>57366262</v>
      </c>
      <c r="O98" s="26">
        <v>143</v>
      </c>
      <c r="P98" t="s">
        <v>124</v>
      </c>
    </row>
    <row r="99" spans="1:16" ht="15" customHeight="1" x14ac:dyDescent="0.3">
      <c r="A99" t="s">
        <v>764</v>
      </c>
      <c r="B99" t="s">
        <v>198</v>
      </c>
      <c r="C99" t="s">
        <v>146</v>
      </c>
      <c r="D99" t="s">
        <v>360</v>
      </c>
      <c r="E99" t="s">
        <v>263</v>
      </c>
      <c r="F99">
        <v>7.6</v>
      </c>
      <c r="G99">
        <v>64</v>
      </c>
      <c r="H99" t="s">
        <v>765</v>
      </c>
      <c r="I99" t="s">
        <v>590</v>
      </c>
      <c r="J99" t="s">
        <v>766</v>
      </c>
      <c r="K99" t="s">
        <v>767</v>
      </c>
      <c r="L99" t="s">
        <v>768</v>
      </c>
      <c r="M99">
        <v>490062</v>
      </c>
      <c r="N99" s="25">
        <v>15070285</v>
      </c>
      <c r="O99" s="26">
        <v>101</v>
      </c>
      <c r="P99" t="s">
        <v>135</v>
      </c>
    </row>
    <row r="100" spans="1:16" ht="15" customHeight="1" x14ac:dyDescent="0.3">
      <c r="A100" t="s">
        <v>769</v>
      </c>
      <c r="B100" t="s">
        <v>770</v>
      </c>
      <c r="C100" t="s">
        <v>78</v>
      </c>
      <c r="D100" t="s">
        <v>771</v>
      </c>
      <c r="E100" t="s">
        <v>772</v>
      </c>
      <c r="F100">
        <v>7.6</v>
      </c>
      <c r="G100">
        <v>65</v>
      </c>
      <c r="H100" t="s">
        <v>773</v>
      </c>
      <c r="I100" t="s">
        <v>774</v>
      </c>
      <c r="J100" t="s">
        <v>775</v>
      </c>
      <c r="K100" t="s">
        <v>776</v>
      </c>
      <c r="L100" t="s">
        <v>777</v>
      </c>
      <c r="M100">
        <v>166409</v>
      </c>
      <c r="N100" s="25">
        <v>141843612</v>
      </c>
      <c r="O100" s="26">
        <v>78</v>
      </c>
      <c r="P100" t="s">
        <v>572</v>
      </c>
    </row>
    <row r="101" spans="1:16" ht="15" customHeight="1" x14ac:dyDescent="0.3">
      <c r="A101" t="s">
        <v>778</v>
      </c>
      <c r="B101" t="s">
        <v>779</v>
      </c>
      <c r="C101" t="s">
        <v>99</v>
      </c>
      <c r="D101" t="s">
        <v>539</v>
      </c>
      <c r="E101" t="s">
        <v>148</v>
      </c>
      <c r="F101">
        <v>7.8</v>
      </c>
      <c r="G101">
        <v>65</v>
      </c>
      <c r="H101" t="s">
        <v>780</v>
      </c>
      <c r="I101" t="s">
        <v>781</v>
      </c>
      <c r="J101" t="s">
        <v>782</v>
      </c>
      <c r="K101" t="s">
        <v>783</v>
      </c>
      <c r="L101" t="s">
        <v>784</v>
      </c>
      <c r="M101">
        <v>556608</v>
      </c>
      <c r="N101" s="25">
        <v>532177324</v>
      </c>
      <c r="O101" s="26">
        <v>133</v>
      </c>
      <c r="P101" t="s">
        <v>96</v>
      </c>
    </row>
    <row r="102" spans="1:16" ht="15" customHeight="1" x14ac:dyDescent="0.3">
      <c r="A102" t="s">
        <v>785</v>
      </c>
      <c r="B102" t="s">
        <v>417</v>
      </c>
      <c r="C102" t="s">
        <v>78</v>
      </c>
      <c r="D102" t="s">
        <v>786</v>
      </c>
      <c r="E102" t="s">
        <v>595</v>
      </c>
      <c r="F102">
        <v>8.1999999999999993</v>
      </c>
      <c r="G102">
        <v>65</v>
      </c>
      <c r="H102" t="s">
        <v>607</v>
      </c>
      <c r="I102" t="s">
        <v>453</v>
      </c>
      <c r="J102" t="s">
        <v>330</v>
      </c>
      <c r="K102" t="s">
        <v>787</v>
      </c>
      <c r="L102" t="s">
        <v>788</v>
      </c>
      <c r="M102">
        <v>692366</v>
      </c>
      <c r="N102" s="25">
        <v>197171806</v>
      </c>
      <c r="O102" s="26">
        <v>127</v>
      </c>
      <c r="P102" t="s">
        <v>96</v>
      </c>
    </row>
    <row r="103" spans="1:16" ht="15" customHeight="1" x14ac:dyDescent="0.3">
      <c r="A103" t="s">
        <v>789</v>
      </c>
      <c r="B103" t="s">
        <v>401</v>
      </c>
      <c r="C103" t="s">
        <v>99</v>
      </c>
      <c r="D103" t="s">
        <v>215</v>
      </c>
      <c r="E103" t="s">
        <v>148</v>
      </c>
      <c r="F103">
        <v>7.7</v>
      </c>
      <c r="G103">
        <v>65</v>
      </c>
      <c r="H103" t="s">
        <v>548</v>
      </c>
      <c r="I103" t="s">
        <v>790</v>
      </c>
      <c r="J103" t="s">
        <v>791</v>
      </c>
      <c r="K103" t="s">
        <v>792</v>
      </c>
      <c r="L103" t="s">
        <v>226</v>
      </c>
      <c r="M103">
        <v>645512</v>
      </c>
      <c r="N103" s="25">
        <v>146408305</v>
      </c>
      <c r="O103" s="26">
        <v>131</v>
      </c>
      <c r="P103" t="s">
        <v>96</v>
      </c>
    </row>
    <row r="104" spans="1:16" ht="15" customHeight="1" x14ac:dyDescent="0.3">
      <c r="A104" t="s">
        <v>793</v>
      </c>
      <c r="B104" t="s">
        <v>126</v>
      </c>
      <c r="C104" t="s">
        <v>146</v>
      </c>
      <c r="D104" t="s">
        <v>174</v>
      </c>
      <c r="E104" t="s">
        <v>739</v>
      </c>
      <c r="F104">
        <v>7.7</v>
      </c>
      <c r="G104">
        <v>65</v>
      </c>
      <c r="H104" t="s">
        <v>794</v>
      </c>
      <c r="I104" t="s">
        <v>740</v>
      </c>
      <c r="J104" t="s">
        <v>795</v>
      </c>
      <c r="K104" t="s">
        <v>741</v>
      </c>
      <c r="L104" t="s">
        <v>338</v>
      </c>
      <c r="M104">
        <v>479120</v>
      </c>
      <c r="N104" s="25">
        <v>295983305</v>
      </c>
      <c r="O104" s="26">
        <v>146</v>
      </c>
      <c r="P104" t="s">
        <v>124</v>
      </c>
    </row>
    <row r="105" spans="1:16" ht="15" customHeight="1" x14ac:dyDescent="0.3">
      <c r="A105" t="s">
        <v>796</v>
      </c>
      <c r="B105" t="s">
        <v>797</v>
      </c>
      <c r="C105" t="s">
        <v>78</v>
      </c>
      <c r="D105" t="s">
        <v>539</v>
      </c>
      <c r="E105" t="s">
        <v>71</v>
      </c>
      <c r="F105">
        <v>8</v>
      </c>
      <c r="G105">
        <v>65</v>
      </c>
      <c r="H105" t="s">
        <v>224</v>
      </c>
      <c r="I105" t="s">
        <v>461</v>
      </c>
      <c r="J105" t="s">
        <v>355</v>
      </c>
      <c r="K105" t="s">
        <v>798</v>
      </c>
      <c r="L105" t="s">
        <v>799</v>
      </c>
      <c r="M105">
        <v>473064</v>
      </c>
      <c r="N105" s="25">
        <v>178800000</v>
      </c>
      <c r="O105" s="26">
        <v>133</v>
      </c>
      <c r="P105" t="s">
        <v>71</v>
      </c>
    </row>
    <row r="106" spans="1:16" ht="15" customHeight="1" x14ac:dyDescent="0.3">
      <c r="A106" t="s">
        <v>800</v>
      </c>
      <c r="B106" t="s">
        <v>164</v>
      </c>
      <c r="C106" t="s">
        <v>146</v>
      </c>
      <c r="D106" t="s">
        <v>239</v>
      </c>
      <c r="E106" t="s">
        <v>223</v>
      </c>
      <c r="F106">
        <v>7.9</v>
      </c>
      <c r="G106">
        <v>65</v>
      </c>
      <c r="H106" t="s">
        <v>801</v>
      </c>
      <c r="I106" t="s">
        <v>505</v>
      </c>
      <c r="J106" t="s">
        <v>72</v>
      </c>
      <c r="K106" t="s">
        <v>802</v>
      </c>
      <c r="L106" t="s">
        <v>803</v>
      </c>
      <c r="M106">
        <v>201000</v>
      </c>
      <c r="N106" s="25">
        <v>36948322</v>
      </c>
      <c r="O106" s="26">
        <v>144</v>
      </c>
      <c r="P106" t="s">
        <v>172</v>
      </c>
    </row>
    <row r="107" spans="1:16" ht="15" customHeight="1" x14ac:dyDescent="0.3">
      <c r="A107" t="s">
        <v>804</v>
      </c>
      <c r="B107" t="s">
        <v>126</v>
      </c>
      <c r="C107" t="s">
        <v>88</v>
      </c>
      <c r="D107" t="s">
        <v>117</v>
      </c>
      <c r="E107" t="s">
        <v>301</v>
      </c>
      <c r="F107">
        <v>7.6</v>
      </c>
      <c r="G107">
        <v>65</v>
      </c>
      <c r="H107" t="s">
        <v>805</v>
      </c>
      <c r="I107" t="s">
        <v>806</v>
      </c>
      <c r="J107" t="s">
        <v>807</v>
      </c>
      <c r="K107" t="s">
        <v>808</v>
      </c>
      <c r="L107" t="s">
        <v>809</v>
      </c>
      <c r="M107">
        <v>38491</v>
      </c>
      <c r="N107" s="25">
        <v>1008098</v>
      </c>
      <c r="O107" s="26">
        <v>118</v>
      </c>
      <c r="P107" t="s">
        <v>71</v>
      </c>
    </row>
    <row r="108" spans="1:16" ht="15" customHeight="1" x14ac:dyDescent="0.3">
      <c r="A108" t="s">
        <v>810</v>
      </c>
      <c r="B108" t="s">
        <v>449</v>
      </c>
      <c r="C108" t="s">
        <v>146</v>
      </c>
      <c r="D108" t="s">
        <v>811</v>
      </c>
      <c r="E108" t="s">
        <v>166</v>
      </c>
      <c r="F108">
        <v>8.3000000000000007</v>
      </c>
      <c r="G108">
        <v>65</v>
      </c>
      <c r="H108" t="s">
        <v>801</v>
      </c>
      <c r="I108" t="s">
        <v>505</v>
      </c>
      <c r="J108" t="s">
        <v>73</v>
      </c>
      <c r="K108" t="s">
        <v>812</v>
      </c>
      <c r="L108" t="s">
        <v>813</v>
      </c>
      <c r="M108">
        <v>740911</v>
      </c>
      <c r="N108" s="25">
        <v>45598982</v>
      </c>
      <c r="O108" s="26">
        <v>170</v>
      </c>
      <c r="P108" t="s">
        <v>172</v>
      </c>
    </row>
    <row r="109" spans="1:16" ht="15" customHeight="1" x14ac:dyDescent="0.3">
      <c r="A109" t="s">
        <v>814</v>
      </c>
      <c r="B109" t="s">
        <v>465</v>
      </c>
      <c r="C109" t="s">
        <v>146</v>
      </c>
      <c r="D109" t="s">
        <v>786</v>
      </c>
      <c r="E109" t="s">
        <v>191</v>
      </c>
      <c r="F109">
        <v>8.6</v>
      </c>
      <c r="G109">
        <v>65</v>
      </c>
      <c r="H109" t="s">
        <v>602</v>
      </c>
      <c r="I109" t="s">
        <v>319</v>
      </c>
      <c r="J109" t="s">
        <v>227</v>
      </c>
      <c r="K109" t="s">
        <v>815</v>
      </c>
      <c r="L109" t="s">
        <v>816</v>
      </c>
      <c r="M109">
        <v>1445096</v>
      </c>
      <c r="N109" s="25">
        <v>100125643</v>
      </c>
      <c r="O109" s="26">
        <v>127</v>
      </c>
      <c r="P109" t="s">
        <v>172</v>
      </c>
    </row>
    <row r="110" spans="1:16" ht="15" customHeight="1" x14ac:dyDescent="0.3">
      <c r="A110" t="s">
        <v>817</v>
      </c>
      <c r="B110" t="s">
        <v>818</v>
      </c>
      <c r="C110" t="s">
        <v>99</v>
      </c>
      <c r="D110" t="s">
        <v>819</v>
      </c>
      <c r="E110" t="s">
        <v>820</v>
      </c>
      <c r="F110">
        <v>7.6</v>
      </c>
      <c r="G110">
        <v>65</v>
      </c>
      <c r="H110" t="s">
        <v>821</v>
      </c>
      <c r="I110" t="s">
        <v>822</v>
      </c>
      <c r="J110" t="s">
        <v>823</v>
      </c>
      <c r="K110" t="s">
        <v>824</v>
      </c>
      <c r="L110" t="s">
        <v>825</v>
      </c>
      <c r="M110">
        <v>93878</v>
      </c>
      <c r="N110" s="25">
        <v>22490039</v>
      </c>
      <c r="O110" s="26">
        <v>92</v>
      </c>
      <c r="P110" t="s">
        <v>96</v>
      </c>
    </row>
    <row r="111" spans="1:16" ht="15" customHeight="1" x14ac:dyDescent="0.3">
      <c r="A111" t="s">
        <v>826</v>
      </c>
      <c r="B111" t="s">
        <v>779</v>
      </c>
      <c r="C111" t="s">
        <v>88</v>
      </c>
      <c r="D111" t="s">
        <v>418</v>
      </c>
      <c r="E111" t="s">
        <v>540</v>
      </c>
      <c r="F111">
        <v>8</v>
      </c>
      <c r="G111">
        <v>65</v>
      </c>
      <c r="H111" t="s">
        <v>827</v>
      </c>
      <c r="I111" t="s">
        <v>828</v>
      </c>
      <c r="J111" t="s">
        <v>829</v>
      </c>
      <c r="K111" t="s">
        <v>830</v>
      </c>
      <c r="L111" t="s">
        <v>831</v>
      </c>
      <c r="M111">
        <v>902669</v>
      </c>
      <c r="N111" s="25">
        <v>363070709</v>
      </c>
      <c r="O111" s="26">
        <v>108</v>
      </c>
      <c r="P111" t="s">
        <v>96</v>
      </c>
    </row>
    <row r="112" spans="1:16" ht="15" customHeight="1" x14ac:dyDescent="0.3">
      <c r="A112" t="s">
        <v>832</v>
      </c>
      <c r="B112" t="s">
        <v>471</v>
      </c>
      <c r="C112" t="s">
        <v>99</v>
      </c>
      <c r="D112" t="s">
        <v>353</v>
      </c>
      <c r="E112" t="s">
        <v>443</v>
      </c>
      <c r="F112">
        <v>8</v>
      </c>
      <c r="G112">
        <v>65</v>
      </c>
      <c r="H112" t="s">
        <v>833</v>
      </c>
      <c r="I112" t="s">
        <v>834</v>
      </c>
      <c r="J112" t="s">
        <v>835</v>
      </c>
      <c r="K112" t="s">
        <v>836</v>
      </c>
      <c r="L112" t="s">
        <v>837</v>
      </c>
      <c r="M112">
        <v>31886</v>
      </c>
      <c r="N112" s="25">
        <v>5566534</v>
      </c>
      <c r="O112" s="26">
        <v>154</v>
      </c>
      <c r="P112" t="s">
        <v>71</v>
      </c>
    </row>
    <row r="113" spans="1:16" ht="15" customHeight="1" x14ac:dyDescent="0.3">
      <c r="A113" t="s">
        <v>838</v>
      </c>
      <c r="B113" t="s">
        <v>116</v>
      </c>
      <c r="C113" t="s">
        <v>146</v>
      </c>
      <c r="D113" t="s">
        <v>839</v>
      </c>
      <c r="E113" t="s">
        <v>840</v>
      </c>
      <c r="F113">
        <v>7.6</v>
      </c>
      <c r="G113">
        <v>66</v>
      </c>
      <c r="H113" t="s">
        <v>841</v>
      </c>
      <c r="I113" t="s">
        <v>842</v>
      </c>
      <c r="J113" t="s">
        <v>843</v>
      </c>
      <c r="K113" t="s">
        <v>762</v>
      </c>
      <c r="L113" t="s">
        <v>844</v>
      </c>
      <c r="M113">
        <v>187927</v>
      </c>
      <c r="N113" s="25">
        <v>14378331</v>
      </c>
      <c r="O113" s="26">
        <v>100</v>
      </c>
      <c r="P113" t="s">
        <v>705</v>
      </c>
    </row>
    <row r="114" spans="1:16" ht="15" customHeight="1" x14ac:dyDescent="0.3">
      <c r="A114" t="s">
        <v>845</v>
      </c>
      <c r="B114" t="s">
        <v>270</v>
      </c>
      <c r="C114" t="s">
        <v>78</v>
      </c>
      <c r="D114" t="s">
        <v>108</v>
      </c>
      <c r="E114" t="s">
        <v>846</v>
      </c>
      <c r="F114">
        <v>8.5</v>
      </c>
      <c r="G114">
        <v>66</v>
      </c>
      <c r="H114" t="s">
        <v>847</v>
      </c>
      <c r="I114" t="s">
        <v>590</v>
      </c>
      <c r="J114" t="s">
        <v>848</v>
      </c>
      <c r="K114" t="s">
        <v>476</v>
      </c>
      <c r="L114" t="s">
        <v>551</v>
      </c>
      <c r="M114">
        <v>1190259</v>
      </c>
      <c r="N114" s="25">
        <v>53089891</v>
      </c>
      <c r="O114" s="26">
        <v>130</v>
      </c>
      <c r="P114" t="s">
        <v>71</v>
      </c>
    </row>
    <row r="115" spans="1:16" ht="15" customHeight="1" x14ac:dyDescent="0.3">
      <c r="A115" t="s">
        <v>849</v>
      </c>
      <c r="B115" t="s">
        <v>87</v>
      </c>
      <c r="C115" t="s">
        <v>78</v>
      </c>
      <c r="D115" t="s">
        <v>786</v>
      </c>
      <c r="E115" t="s">
        <v>739</v>
      </c>
      <c r="F115">
        <v>7.6</v>
      </c>
      <c r="G115">
        <v>66</v>
      </c>
      <c r="H115" t="s">
        <v>548</v>
      </c>
      <c r="I115" t="s">
        <v>850</v>
      </c>
      <c r="J115" t="s">
        <v>851</v>
      </c>
      <c r="K115" t="s">
        <v>852</v>
      </c>
      <c r="L115" t="s">
        <v>439</v>
      </c>
      <c r="M115">
        <v>255036</v>
      </c>
      <c r="N115" s="25">
        <v>38634938</v>
      </c>
      <c r="O115" s="26">
        <v>127</v>
      </c>
      <c r="P115" t="s">
        <v>124</v>
      </c>
    </row>
    <row r="116" spans="1:16" ht="15" customHeight="1" x14ac:dyDescent="0.3">
      <c r="A116" t="s">
        <v>853</v>
      </c>
      <c r="B116" t="s">
        <v>574</v>
      </c>
      <c r="C116" t="s">
        <v>146</v>
      </c>
      <c r="D116" t="s">
        <v>854</v>
      </c>
      <c r="E116" t="s">
        <v>71</v>
      </c>
      <c r="F116">
        <v>8.8000000000000007</v>
      </c>
      <c r="G116">
        <v>66</v>
      </c>
      <c r="H116" t="s">
        <v>602</v>
      </c>
      <c r="I116" t="s">
        <v>227</v>
      </c>
      <c r="J116" t="s">
        <v>195</v>
      </c>
      <c r="K116" t="s">
        <v>855</v>
      </c>
      <c r="L116" t="s">
        <v>856</v>
      </c>
      <c r="M116">
        <v>1854740</v>
      </c>
      <c r="N116" s="25">
        <v>37030102</v>
      </c>
      <c r="O116" s="26">
        <v>139</v>
      </c>
      <c r="P116" t="s">
        <v>71</v>
      </c>
    </row>
    <row r="117" spans="1:16" ht="15" customHeight="1" x14ac:dyDescent="0.3">
      <c r="A117" t="s">
        <v>857</v>
      </c>
      <c r="B117" t="s">
        <v>116</v>
      </c>
      <c r="C117" t="s">
        <v>146</v>
      </c>
      <c r="D117" t="s">
        <v>147</v>
      </c>
      <c r="E117" t="s">
        <v>858</v>
      </c>
      <c r="F117">
        <v>8.1999999999999993</v>
      </c>
      <c r="G117">
        <v>66</v>
      </c>
      <c r="H117" t="s">
        <v>343</v>
      </c>
      <c r="I117" t="s">
        <v>859</v>
      </c>
      <c r="J117" t="s">
        <v>860</v>
      </c>
      <c r="K117" t="s">
        <v>861</v>
      </c>
      <c r="L117" t="s">
        <v>344</v>
      </c>
      <c r="M117">
        <v>535216</v>
      </c>
      <c r="N117" s="25">
        <v>3897569</v>
      </c>
      <c r="O117" s="26">
        <v>107</v>
      </c>
      <c r="P117" t="s">
        <v>96</v>
      </c>
    </row>
    <row r="118" spans="1:16" ht="15" customHeight="1" x14ac:dyDescent="0.3">
      <c r="A118" t="s">
        <v>862</v>
      </c>
      <c r="B118" t="s">
        <v>863</v>
      </c>
      <c r="C118" t="s">
        <v>127</v>
      </c>
      <c r="D118" t="s">
        <v>315</v>
      </c>
      <c r="E118" t="s">
        <v>280</v>
      </c>
      <c r="F118">
        <v>8</v>
      </c>
      <c r="G118">
        <v>66</v>
      </c>
      <c r="H118" t="s">
        <v>864</v>
      </c>
      <c r="I118" t="s">
        <v>865</v>
      </c>
      <c r="J118" t="s">
        <v>866</v>
      </c>
      <c r="K118" t="s">
        <v>867</v>
      </c>
      <c r="L118" t="s">
        <v>868</v>
      </c>
      <c r="M118">
        <v>201888</v>
      </c>
      <c r="N118" s="25">
        <v>102308889</v>
      </c>
      <c r="O118" s="26">
        <v>110</v>
      </c>
      <c r="P118" t="s">
        <v>204</v>
      </c>
    </row>
    <row r="119" spans="1:16" ht="15" customHeight="1" x14ac:dyDescent="0.3">
      <c r="A119" t="s">
        <v>869</v>
      </c>
      <c r="B119" t="s">
        <v>126</v>
      </c>
      <c r="C119" t="s">
        <v>99</v>
      </c>
      <c r="D119" t="s">
        <v>271</v>
      </c>
      <c r="E119" t="s">
        <v>858</v>
      </c>
      <c r="F119">
        <v>7.6</v>
      </c>
      <c r="G119">
        <v>66</v>
      </c>
      <c r="H119" t="s">
        <v>548</v>
      </c>
      <c r="I119" t="s">
        <v>870</v>
      </c>
      <c r="J119" t="s">
        <v>629</v>
      </c>
      <c r="K119" t="s">
        <v>871</v>
      </c>
      <c r="L119" t="s">
        <v>872</v>
      </c>
      <c r="M119">
        <v>524081</v>
      </c>
      <c r="N119" s="25">
        <v>48071303</v>
      </c>
      <c r="O119" s="26">
        <v>117</v>
      </c>
      <c r="P119" t="s">
        <v>96</v>
      </c>
    </row>
    <row r="120" spans="1:16" ht="15" customHeight="1" x14ac:dyDescent="0.3">
      <c r="A120" t="s">
        <v>873</v>
      </c>
      <c r="B120" t="s">
        <v>532</v>
      </c>
      <c r="C120" t="s">
        <v>88</v>
      </c>
      <c r="D120" t="s">
        <v>89</v>
      </c>
      <c r="E120" t="s">
        <v>223</v>
      </c>
      <c r="F120">
        <v>7.7</v>
      </c>
      <c r="G120">
        <v>66</v>
      </c>
      <c r="H120" t="s">
        <v>874</v>
      </c>
      <c r="I120" t="s">
        <v>875</v>
      </c>
      <c r="J120" t="s">
        <v>876</v>
      </c>
      <c r="K120" t="s">
        <v>430</v>
      </c>
      <c r="L120" t="s">
        <v>877</v>
      </c>
      <c r="M120">
        <v>125822</v>
      </c>
      <c r="N120" s="25">
        <v>5080409</v>
      </c>
      <c r="O120" s="26">
        <v>115</v>
      </c>
      <c r="P120" t="s">
        <v>172</v>
      </c>
    </row>
    <row r="121" spans="1:16" ht="15" customHeight="1" x14ac:dyDescent="0.3">
      <c r="A121" t="s">
        <v>878</v>
      </c>
      <c r="B121" t="s">
        <v>107</v>
      </c>
      <c r="C121" t="s">
        <v>99</v>
      </c>
      <c r="D121" t="s">
        <v>879</v>
      </c>
      <c r="E121" t="s">
        <v>436</v>
      </c>
      <c r="F121">
        <v>7.8</v>
      </c>
      <c r="G121">
        <v>66</v>
      </c>
      <c r="H121" t="s">
        <v>437</v>
      </c>
      <c r="I121" t="s">
        <v>439</v>
      </c>
      <c r="J121" t="s">
        <v>438</v>
      </c>
      <c r="K121" t="s">
        <v>440</v>
      </c>
      <c r="L121" t="s">
        <v>880</v>
      </c>
      <c r="M121">
        <v>601408</v>
      </c>
      <c r="N121" s="25">
        <v>258366855</v>
      </c>
      <c r="O121" s="26">
        <v>161</v>
      </c>
      <c r="P121" t="s">
        <v>124</v>
      </c>
    </row>
    <row r="122" spans="1:16" ht="15" customHeight="1" x14ac:dyDescent="0.3">
      <c r="A122" t="s">
        <v>881</v>
      </c>
      <c r="B122" t="s">
        <v>164</v>
      </c>
      <c r="C122" t="s">
        <v>99</v>
      </c>
      <c r="D122" t="s">
        <v>426</v>
      </c>
      <c r="E122" t="s">
        <v>71</v>
      </c>
      <c r="F122">
        <v>7.7</v>
      </c>
      <c r="G122">
        <v>66</v>
      </c>
      <c r="H122" t="s">
        <v>882</v>
      </c>
      <c r="I122" t="s">
        <v>578</v>
      </c>
      <c r="J122" t="s">
        <v>176</v>
      </c>
      <c r="K122" t="s">
        <v>883</v>
      </c>
      <c r="L122" t="s">
        <v>884</v>
      </c>
      <c r="M122">
        <v>224169</v>
      </c>
      <c r="N122" s="25">
        <v>77324422</v>
      </c>
      <c r="O122" s="26">
        <v>125</v>
      </c>
      <c r="P122" t="s">
        <v>71</v>
      </c>
    </row>
    <row r="123" spans="1:16" ht="15" customHeight="1" x14ac:dyDescent="0.3">
      <c r="A123" t="s">
        <v>885</v>
      </c>
      <c r="B123" t="s">
        <v>753</v>
      </c>
      <c r="C123" t="s">
        <v>88</v>
      </c>
      <c r="D123" t="s">
        <v>886</v>
      </c>
      <c r="E123" t="s">
        <v>342</v>
      </c>
      <c r="F123">
        <v>7.6</v>
      </c>
      <c r="G123">
        <v>66</v>
      </c>
      <c r="H123" t="s">
        <v>887</v>
      </c>
      <c r="I123" t="s">
        <v>888</v>
      </c>
      <c r="J123" t="s">
        <v>889</v>
      </c>
      <c r="K123" t="s">
        <v>890</v>
      </c>
      <c r="L123" t="s">
        <v>891</v>
      </c>
      <c r="M123">
        <v>80487</v>
      </c>
      <c r="N123" s="25">
        <v>1794187</v>
      </c>
      <c r="O123" s="26">
        <v>99</v>
      </c>
      <c r="P123" t="s">
        <v>135</v>
      </c>
    </row>
    <row r="124" spans="1:16" ht="15" customHeight="1" x14ac:dyDescent="0.3">
      <c r="A124" t="s">
        <v>892</v>
      </c>
      <c r="B124" t="s">
        <v>206</v>
      </c>
      <c r="C124" t="s">
        <v>88</v>
      </c>
      <c r="D124" t="s">
        <v>478</v>
      </c>
      <c r="E124" t="s">
        <v>540</v>
      </c>
      <c r="F124">
        <v>7.7</v>
      </c>
      <c r="G124">
        <v>66</v>
      </c>
      <c r="H124" t="s">
        <v>893</v>
      </c>
      <c r="I124" t="s">
        <v>828</v>
      </c>
      <c r="J124" t="s">
        <v>646</v>
      </c>
      <c r="K124" t="s">
        <v>829</v>
      </c>
      <c r="L124" t="s">
        <v>894</v>
      </c>
      <c r="M124">
        <v>478586</v>
      </c>
      <c r="N124" s="25">
        <v>324591735</v>
      </c>
      <c r="O124" s="26">
        <v>119</v>
      </c>
      <c r="P124" t="s">
        <v>96</v>
      </c>
    </row>
    <row r="125" spans="1:16" ht="15" customHeight="1" x14ac:dyDescent="0.3">
      <c r="A125" t="s">
        <v>895</v>
      </c>
      <c r="B125" t="s">
        <v>87</v>
      </c>
      <c r="C125" t="s">
        <v>69</v>
      </c>
      <c r="D125" t="s">
        <v>583</v>
      </c>
      <c r="E125" t="s">
        <v>208</v>
      </c>
      <c r="F125">
        <v>7.6</v>
      </c>
      <c r="G125">
        <v>66</v>
      </c>
      <c r="H125" t="s">
        <v>896</v>
      </c>
      <c r="I125" t="s">
        <v>141</v>
      </c>
      <c r="J125" t="s">
        <v>897</v>
      </c>
      <c r="K125" t="s">
        <v>898</v>
      </c>
      <c r="L125" t="s">
        <v>899</v>
      </c>
      <c r="M125">
        <v>82781</v>
      </c>
      <c r="N125" s="25">
        <v>10301706</v>
      </c>
      <c r="O125" s="26">
        <v>140</v>
      </c>
      <c r="P125" t="s">
        <v>204</v>
      </c>
    </row>
    <row r="126" spans="1:16" ht="15" customHeight="1" x14ac:dyDescent="0.3">
      <c r="A126" t="s">
        <v>900</v>
      </c>
      <c r="B126" t="s">
        <v>77</v>
      </c>
      <c r="C126" t="s">
        <v>99</v>
      </c>
      <c r="D126" t="s">
        <v>402</v>
      </c>
      <c r="E126" t="s">
        <v>223</v>
      </c>
      <c r="F126">
        <v>7.7</v>
      </c>
      <c r="G126">
        <v>66</v>
      </c>
      <c r="H126" t="s">
        <v>901</v>
      </c>
      <c r="I126" t="s">
        <v>902</v>
      </c>
      <c r="J126" t="s">
        <v>297</v>
      </c>
      <c r="K126" t="s">
        <v>714</v>
      </c>
      <c r="L126" t="s">
        <v>903</v>
      </c>
      <c r="M126">
        <v>419483</v>
      </c>
      <c r="N126" s="25">
        <v>54580300</v>
      </c>
      <c r="O126" s="26">
        <v>112</v>
      </c>
      <c r="P126" t="s">
        <v>172</v>
      </c>
    </row>
    <row r="127" spans="1:16" ht="15" customHeight="1" x14ac:dyDescent="0.3">
      <c r="A127" t="s">
        <v>904</v>
      </c>
      <c r="B127" t="s">
        <v>641</v>
      </c>
      <c r="C127" t="s">
        <v>99</v>
      </c>
      <c r="D127" t="s">
        <v>368</v>
      </c>
      <c r="E127" t="s">
        <v>905</v>
      </c>
      <c r="F127">
        <v>7.8</v>
      </c>
      <c r="G127">
        <v>66</v>
      </c>
      <c r="H127" t="s">
        <v>553</v>
      </c>
      <c r="I127" t="s">
        <v>906</v>
      </c>
      <c r="J127" t="s">
        <v>907</v>
      </c>
      <c r="K127" t="s">
        <v>908</v>
      </c>
      <c r="L127" t="s">
        <v>909</v>
      </c>
      <c r="M127">
        <v>357026</v>
      </c>
      <c r="N127" s="25">
        <v>45875171</v>
      </c>
      <c r="O127" s="26">
        <v>97</v>
      </c>
      <c r="P127" t="s">
        <v>135</v>
      </c>
    </row>
    <row r="128" spans="1:16" ht="15" customHeight="1" x14ac:dyDescent="0.3">
      <c r="A128" t="s">
        <v>910</v>
      </c>
      <c r="B128" t="s">
        <v>510</v>
      </c>
      <c r="C128" t="s">
        <v>78</v>
      </c>
      <c r="D128" t="s">
        <v>79</v>
      </c>
      <c r="E128" t="s">
        <v>911</v>
      </c>
      <c r="F128">
        <v>8</v>
      </c>
      <c r="G128">
        <v>66</v>
      </c>
      <c r="H128" t="s">
        <v>912</v>
      </c>
      <c r="I128" t="s">
        <v>913</v>
      </c>
      <c r="J128" t="s">
        <v>914</v>
      </c>
      <c r="K128" t="s">
        <v>915</v>
      </c>
      <c r="L128" t="s">
        <v>916</v>
      </c>
      <c r="M128">
        <v>141923</v>
      </c>
      <c r="N128" s="25">
        <v>132422809</v>
      </c>
      <c r="O128" s="26">
        <v>113</v>
      </c>
      <c r="P128" t="s">
        <v>71</v>
      </c>
    </row>
    <row r="129" spans="1:16" ht="15" customHeight="1" x14ac:dyDescent="0.3">
      <c r="A129" t="s">
        <v>917</v>
      </c>
      <c r="B129" t="s">
        <v>538</v>
      </c>
      <c r="C129" t="s">
        <v>146</v>
      </c>
      <c r="D129" t="s">
        <v>174</v>
      </c>
      <c r="E129" t="s">
        <v>918</v>
      </c>
      <c r="F129">
        <v>8.4</v>
      </c>
      <c r="G129">
        <v>66</v>
      </c>
      <c r="H129" t="s">
        <v>919</v>
      </c>
      <c r="I129" t="s">
        <v>613</v>
      </c>
      <c r="J129" t="s">
        <v>920</v>
      </c>
      <c r="K129" t="s">
        <v>921</v>
      </c>
      <c r="L129" t="s">
        <v>922</v>
      </c>
      <c r="M129">
        <v>898237</v>
      </c>
      <c r="N129" s="25">
        <v>44017374</v>
      </c>
      <c r="O129" s="26">
        <v>146</v>
      </c>
      <c r="P129" t="s">
        <v>71</v>
      </c>
    </row>
    <row r="130" spans="1:16" ht="15" customHeight="1" x14ac:dyDescent="0.3">
      <c r="A130" t="s">
        <v>923</v>
      </c>
      <c r="B130" t="s">
        <v>198</v>
      </c>
      <c r="C130" t="s">
        <v>99</v>
      </c>
      <c r="D130" t="s">
        <v>924</v>
      </c>
      <c r="E130" t="s">
        <v>559</v>
      </c>
      <c r="F130">
        <v>8.5</v>
      </c>
      <c r="G130">
        <v>67</v>
      </c>
      <c r="H130" t="s">
        <v>925</v>
      </c>
      <c r="I130" t="s">
        <v>926</v>
      </c>
      <c r="J130" t="s">
        <v>492</v>
      </c>
      <c r="K130" t="s">
        <v>927</v>
      </c>
      <c r="L130" t="s">
        <v>928</v>
      </c>
      <c r="M130">
        <v>1341460</v>
      </c>
      <c r="N130" s="25">
        <v>187705427</v>
      </c>
      <c r="O130" s="26">
        <v>155</v>
      </c>
      <c r="P130" t="s">
        <v>96</v>
      </c>
    </row>
    <row r="131" spans="1:16" ht="15" customHeight="1" x14ac:dyDescent="0.3">
      <c r="A131" t="s">
        <v>929</v>
      </c>
      <c r="B131" t="s">
        <v>98</v>
      </c>
      <c r="C131" t="s">
        <v>88</v>
      </c>
      <c r="D131" t="s">
        <v>279</v>
      </c>
      <c r="E131" t="s">
        <v>71</v>
      </c>
      <c r="F131">
        <v>7.6</v>
      </c>
      <c r="G131">
        <v>67</v>
      </c>
      <c r="H131" t="s">
        <v>930</v>
      </c>
      <c r="I131" t="s">
        <v>931</v>
      </c>
      <c r="J131" t="s">
        <v>932</v>
      </c>
      <c r="K131" t="s">
        <v>933</v>
      </c>
      <c r="L131" t="s">
        <v>934</v>
      </c>
      <c r="M131">
        <v>83158</v>
      </c>
      <c r="N131" s="25">
        <v>3081925</v>
      </c>
      <c r="O131" s="26">
        <v>124</v>
      </c>
      <c r="P131" t="s">
        <v>71</v>
      </c>
    </row>
    <row r="132" spans="1:16" ht="15" customHeight="1" x14ac:dyDescent="0.3">
      <c r="A132" t="s">
        <v>935</v>
      </c>
      <c r="B132" t="s">
        <v>294</v>
      </c>
      <c r="C132" t="s">
        <v>88</v>
      </c>
      <c r="D132" t="s">
        <v>368</v>
      </c>
      <c r="E132" t="s">
        <v>846</v>
      </c>
      <c r="F132">
        <v>7.9</v>
      </c>
      <c r="G132">
        <v>67</v>
      </c>
      <c r="H132" t="s">
        <v>936</v>
      </c>
      <c r="I132" t="s">
        <v>937</v>
      </c>
      <c r="J132" t="s">
        <v>815</v>
      </c>
      <c r="K132" t="s">
        <v>938</v>
      </c>
      <c r="L132" t="s">
        <v>939</v>
      </c>
      <c r="M132">
        <v>335152</v>
      </c>
      <c r="N132" s="25">
        <v>5009677</v>
      </c>
      <c r="O132" s="26">
        <v>97</v>
      </c>
      <c r="P132" t="s">
        <v>71</v>
      </c>
    </row>
    <row r="133" spans="1:16" ht="15" customHeight="1" x14ac:dyDescent="0.3">
      <c r="A133" t="s">
        <v>940</v>
      </c>
      <c r="B133" t="s">
        <v>77</v>
      </c>
      <c r="C133" t="s">
        <v>78</v>
      </c>
      <c r="D133" t="s">
        <v>745</v>
      </c>
      <c r="E133" t="s">
        <v>688</v>
      </c>
      <c r="F133">
        <v>7.6</v>
      </c>
      <c r="G133">
        <v>67</v>
      </c>
      <c r="H133" t="s">
        <v>941</v>
      </c>
      <c r="I133" t="s">
        <v>120</v>
      </c>
      <c r="J133" t="s">
        <v>942</v>
      </c>
      <c r="K133" t="s">
        <v>943</v>
      </c>
      <c r="L133" t="s">
        <v>178</v>
      </c>
      <c r="M133">
        <v>198677</v>
      </c>
      <c r="N133" s="25">
        <v>51680613</v>
      </c>
      <c r="O133" s="26">
        <v>106</v>
      </c>
      <c r="P133" t="s">
        <v>204</v>
      </c>
    </row>
    <row r="134" spans="1:16" ht="15" customHeight="1" x14ac:dyDescent="0.3">
      <c r="A134" t="s">
        <v>944</v>
      </c>
      <c r="B134" t="s">
        <v>98</v>
      </c>
      <c r="C134" t="s">
        <v>88</v>
      </c>
      <c r="D134" t="s">
        <v>147</v>
      </c>
      <c r="E134" t="s">
        <v>263</v>
      </c>
      <c r="F134">
        <v>7.9</v>
      </c>
      <c r="G134">
        <v>67</v>
      </c>
      <c r="H134" t="s">
        <v>945</v>
      </c>
      <c r="I134" t="s">
        <v>946</v>
      </c>
      <c r="J134" t="s">
        <v>947</v>
      </c>
      <c r="K134" t="s">
        <v>948</v>
      </c>
      <c r="L134" t="s">
        <v>949</v>
      </c>
      <c r="M134">
        <v>390334</v>
      </c>
      <c r="N134" s="25">
        <v>7757130</v>
      </c>
      <c r="O134" s="26">
        <v>107</v>
      </c>
      <c r="P134" t="s">
        <v>135</v>
      </c>
    </row>
    <row r="135" spans="1:16" ht="15" customHeight="1" x14ac:dyDescent="0.3">
      <c r="A135" t="s">
        <v>950</v>
      </c>
      <c r="B135" t="s">
        <v>951</v>
      </c>
      <c r="C135" t="s">
        <v>724</v>
      </c>
      <c r="D135" t="s">
        <v>952</v>
      </c>
      <c r="E135" t="s">
        <v>953</v>
      </c>
      <c r="F135">
        <v>8</v>
      </c>
      <c r="G135">
        <v>67</v>
      </c>
      <c r="H135" t="s">
        <v>954</v>
      </c>
      <c r="I135" t="s">
        <v>955</v>
      </c>
      <c r="J135" t="s">
        <v>956</v>
      </c>
      <c r="K135" t="s">
        <v>957</v>
      </c>
      <c r="L135" t="s">
        <v>958</v>
      </c>
      <c r="M135">
        <v>39491</v>
      </c>
      <c r="N135" s="25">
        <v>80500000</v>
      </c>
      <c r="O135" s="26">
        <v>181</v>
      </c>
      <c r="P135" t="s">
        <v>71</v>
      </c>
    </row>
    <row r="136" spans="1:16" ht="15" customHeight="1" x14ac:dyDescent="0.3">
      <c r="A136" t="s">
        <v>959</v>
      </c>
      <c r="B136" t="s">
        <v>510</v>
      </c>
      <c r="C136" t="s">
        <v>99</v>
      </c>
      <c r="D136" t="s">
        <v>960</v>
      </c>
      <c r="E136" t="s">
        <v>540</v>
      </c>
      <c r="F136">
        <v>7.6</v>
      </c>
      <c r="G136">
        <v>67</v>
      </c>
      <c r="H136" t="s">
        <v>961</v>
      </c>
      <c r="I136" t="s">
        <v>962</v>
      </c>
      <c r="J136" t="s">
        <v>963</v>
      </c>
      <c r="K136" t="s">
        <v>964</v>
      </c>
      <c r="L136" t="s">
        <v>965</v>
      </c>
      <c r="M136">
        <v>569974</v>
      </c>
      <c r="N136" s="25">
        <v>389813101</v>
      </c>
      <c r="O136" s="26">
        <v>136</v>
      </c>
      <c r="P136" t="s">
        <v>96</v>
      </c>
    </row>
    <row r="137" spans="1:16" ht="15" customHeight="1" x14ac:dyDescent="0.3">
      <c r="A137" t="s">
        <v>966</v>
      </c>
      <c r="B137" t="s">
        <v>294</v>
      </c>
      <c r="C137" t="s">
        <v>99</v>
      </c>
      <c r="D137" t="s">
        <v>811</v>
      </c>
      <c r="E137" t="s">
        <v>905</v>
      </c>
      <c r="F137">
        <v>8.4</v>
      </c>
      <c r="G137">
        <v>67</v>
      </c>
      <c r="H137" t="s">
        <v>967</v>
      </c>
      <c r="I137" t="s">
        <v>968</v>
      </c>
      <c r="J137" t="s">
        <v>969</v>
      </c>
      <c r="K137" t="s">
        <v>970</v>
      </c>
      <c r="L137" t="s">
        <v>971</v>
      </c>
      <c r="M137">
        <v>344445</v>
      </c>
      <c r="N137" s="25">
        <v>6532908</v>
      </c>
      <c r="O137" s="26">
        <v>170</v>
      </c>
      <c r="P137" t="s">
        <v>135</v>
      </c>
    </row>
    <row r="138" spans="1:16" ht="15" customHeight="1" x14ac:dyDescent="0.3">
      <c r="A138" t="s">
        <v>972</v>
      </c>
      <c r="B138" t="s">
        <v>286</v>
      </c>
      <c r="C138" t="s">
        <v>146</v>
      </c>
      <c r="D138" t="s">
        <v>854</v>
      </c>
      <c r="E138" t="s">
        <v>129</v>
      </c>
      <c r="F138">
        <v>7.7</v>
      </c>
      <c r="G138">
        <v>67</v>
      </c>
      <c r="H138" t="s">
        <v>973</v>
      </c>
      <c r="I138" t="s">
        <v>613</v>
      </c>
      <c r="J138" t="s">
        <v>974</v>
      </c>
      <c r="K138" t="s">
        <v>975</v>
      </c>
      <c r="L138" t="s">
        <v>976</v>
      </c>
      <c r="M138">
        <v>275755</v>
      </c>
      <c r="N138" s="25">
        <v>148478011</v>
      </c>
      <c r="O138" s="26">
        <v>139</v>
      </c>
      <c r="P138" t="s">
        <v>135</v>
      </c>
    </row>
    <row r="139" spans="1:16" ht="15" customHeight="1" x14ac:dyDescent="0.3">
      <c r="A139" t="s">
        <v>977</v>
      </c>
      <c r="B139" t="s">
        <v>77</v>
      </c>
      <c r="C139" t="s">
        <v>78</v>
      </c>
      <c r="D139" t="s">
        <v>978</v>
      </c>
      <c r="E139" t="s">
        <v>953</v>
      </c>
      <c r="F139">
        <v>7.8</v>
      </c>
      <c r="G139">
        <v>67</v>
      </c>
      <c r="H139" t="s">
        <v>979</v>
      </c>
      <c r="I139" t="s">
        <v>232</v>
      </c>
      <c r="J139" t="s">
        <v>325</v>
      </c>
      <c r="K139" t="s">
        <v>980</v>
      </c>
      <c r="L139" t="s">
        <v>981</v>
      </c>
      <c r="M139">
        <v>49050</v>
      </c>
      <c r="N139" s="25">
        <v>2921738</v>
      </c>
      <c r="O139" s="26">
        <v>192</v>
      </c>
      <c r="P139" t="s">
        <v>71</v>
      </c>
    </row>
    <row r="140" spans="1:16" ht="15" customHeight="1" x14ac:dyDescent="0.3">
      <c r="A140" t="s">
        <v>982</v>
      </c>
      <c r="B140" t="s">
        <v>434</v>
      </c>
      <c r="C140" t="s">
        <v>99</v>
      </c>
      <c r="D140" t="s">
        <v>155</v>
      </c>
      <c r="E140" t="s">
        <v>301</v>
      </c>
      <c r="F140">
        <v>8</v>
      </c>
      <c r="G140">
        <v>67</v>
      </c>
      <c r="H140" t="s">
        <v>912</v>
      </c>
      <c r="I140" t="s">
        <v>983</v>
      </c>
      <c r="J140" t="s">
        <v>795</v>
      </c>
      <c r="K140" t="s">
        <v>984</v>
      </c>
      <c r="L140" t="s">
        <v>985</v>
      </c>
      <c r="M140">
        <v>462252</v>
      </c>
      <c r="N140" s="25">
        <v>17738570</v>
      </c>
      <c r="O140" s="26">
        <v>103</v>
      </c>
      <c r="P140" t="s">
        <v>71</v>
      </c>
    </row>
    <row r="141" spans="1:16" ht="15" customHeight="1" x14ac:dyDescent="0.3">
      <c r="A141" t="s">
        <v>986</v>
      </c>
      <c r="B141" t="s">
        <v>951</v>
      </c>
      <c r="C141" t="s">
        <v>78</v>
      </c>
      <c r="D141" t="s">
        <v>839</v>
      </c>
      <c r="E141" t="s">
        <v>987</v>
      </c>
      <c r="F141">
        <v>7.8</v>
      </c>
      <c r="G141">
        <v>67</v>
      </c>
      <c r="H141" t="s">
        <v>988</v>
      </c>
      <c r="I141" t="s">
        <v>989</v>
      </c>
      <c r="J141" t="s">
        <v>990</v>
      </c>
      <c r="K141" t="s">
        <v>991</v>
      </c>
      <c r="L141" t="s">
        <v>992</v>
      </c>
      <c r="M141">
        <v>178731</v>
      </c>
      <c r="N141" s="25">
        <v>4000000</v>
      </c>
      <c r="O141" s="26">
        <v>100</v>
      </c>
      <c r="P141" t="s">
        <v>993</v>
      </c>
    </row>
    <row r="142" spans="1:16" ht="15" customHeight="1" x14ac:dyDescent="0.3">
      <c r="A142" t="s">
        <v>994</v>
      </c>
      <c r="B142" t="s">
        <v>389</v>
      </c>
      <c r="C142" t="s">
        <v>99</v>
      </c>
      <c r="D142" t="s">
        <v>478</v>
      </c>
      <c r="E142" t="s">
        <v>995</v>
      </c>
      <c r="F142">
        <v>7.9</v>
      </c>
      <c r="G142">
        <v>68</v>
      </c>
      <c r="H142" t="s">
        <v>996</v>
      </c>
      <c r="I142" t="s">
        <v>283</v>
      </c>
      <c r="J142" t="s">
        <v>997</v>
      </c>
      <c r="K142" t="s">
        <v>998</v>
      </c>
      <c r="L142" t="s">
        <v>999</v>
      </c>
      <c r="M142">
        <v>508771</v>
      </c>
      <c r="N142" s="25">
        <v>121661683</v>
      </c>
      <c r="O142" s="26">
        <v>119</v>
      </c>
      <c r="P142" t="s">
        <v>96</v>
      </c>
    </row>
    <row r="143" spans="1:16" ht="15" customHeight="1" x14ac:dyDescent="0.3">
      <c r="A143" t="s">
        <v>1000</v>
      </c>
      <c r="B143" t="s">
        <v>1001</v>
      </c>
      <c r="C143" t="s">
        <v>146</v>
      </c>
      <c r="D143" t="s">
        <v>1002</v>
      </c>
      <c r="E143" t="s">
        <v>191</v>
      </c>
      <c r="F143">
        <v>7.8</v>
      </c>
      <c r="G143">
        <v>68</v>
      </c>
      <c r="H143" t="s">
        <v>1003</v>
      </c>
      <c r="I143" t="s">
        <v>468</v>
      </c>
      <c r="J143" t="s">
        <v>250</v>
      </c>
      <c r="K143" t="s">
        <v>591</v>
      </c>
      <c r="L143" t="s">
        <v>1004</v>
      </c>
      <c r="M143">
        <v>517059</v>
      </c>
      <c r="N143" s="25">
        <v>54117416</v>
      </c>
      <c r="O143" s="26">
        <v>168</v>
      </c>
      <c r="P143" t="s">
        <v>172</v>
      </c>
    </row>
    <row r="144" spans="1:16" ht="15" customHeight="1" x14ac:dyDescent="0.3">
      <c r="A144" t="s">
        <v>1005</v>
      </c>
      <c r="B144" t="s">
        <v>261</v>
      </c>
      <c r="C144" t="s">
        <v>78</v>
      </c>
      <c r="D144" t="s">
        <v>786</v>
      </c>
      <c r="E144" t="s">
        <v>199</v>
      </c>
      <c r="F144">
        <v>7.8</v>
      </c>
      <c r="G144">
        <v>68</v>
      </c>
      <c r="H144" t="s">
        <v>1006</v>
      </c>
      <c r="I144" t="s">
        <v>1007</v>
      </c>
      <c r="J144" t="s">
        <v>1008</v>
      </c>
      <c r="K144" t="s">
        <v>1009</v>
      </c>
      <c r="L144" t="s">
        <v>1010</v>
      </c>
      <c r="M144">
        <v>51980</v>
      </c>
      <c r="N144" s="25">
        <v>5128124</v>
      </c>
      <c r="O144" s="26">
        <v>127</v>
      </c>
      <c r="P144" t="s">
        <v>204</v>
      </c>
    </row>
    <row r="145" spans="1:16" ht="15" customHeight="1" x14ac:dyDescent="0.3">
      <c r="A145" t="s">
        <v>1011</v>
      </c>
      <c r="B145" t="s">
        <v>164</v>
      </c>
      <c r="C145" t="s">
        <v>99</v>
      </c>
      <c r="D145" t="s">
        <v>786</v>
      </c>
      <c r="E145" t="s">
        <v>148</v>
      </c>
      <c r="F145">
        <v>8.1</v>
      </c>
      <c r="G145">
        <v>68</v>
      </c>
      <c r="H145" t="s">
        <v>607</v>
      </c>
      <c r="I145" t="s">
        <v>1012</v>
      </c>
      <c r="J145" t="s">
        <v>1013</v>
      </c>
      <c r="K145" t="s">
        <v>1014</v>
      </c>
      <c r="L145" t="s">
        <v>1015</v>
      </c>
      <c r="M145">
        <v>867615</v>
      </c>
      <c r="N145" s="25">
        <v>402453882</v>
      </c>
      <c r="O145" s="26">
        <v>127</v>
      </c>
      <c r="P145" t="s">
        <v>96</v>
      </c>
    </row>
    <row r="146" spans="1:16" ht="15" customHeight="1" x14ac:dyDescent="0.3">
      <c r="A146" t="s">
        <v>1016</v>
      </c>
      <c r="B146" t="s">
        <v>434</v>
      </c>
      <c r="C146" t="s">
        <v>146</v>
      </c>
      <c r="D146" t="s">
        <v>410</v>
      </c>
      <c r="E146" t="s">
        <v>90</v>
      </c>
      <c r="F146">
        <v>7.6</v>
      </c>
      <c r="G146">
        <v>68</v>
      </c>
      <c r="H146" t="s">
        <v>1017</v>
      </c>
      <c r="I146" t="s">
        <v>1018</v>
      </c>
      <c r="J146" t="s">
        <v>1019</v>
      </c>
      <c r="K146" t="s">
        <v>1020</v>
      </c>
      <c r="L146" t="s">
        <v>1021</v>
      </c>
      <c r="M146">
        <v>228132</v>
      </c>
      <c r="N146" s="25">
        <v>41003371</v>
      </c>
      <c r="O146" s="26">
        <v>109</v>
      </c>
      <c r="P146" t="s">
        <v>96</v>
      </c>
    </row>
    <row r="147" spans="1:16" ht="15" customHeight="1" x14ac:dyDescent="0.3">
      <c r="A147" t="s">
        <v>1022</v>
      </c>
      <c r="B147" t="s">
        <v>206</v>
      </c>
      <c r="C147" t="s">
        <v>99</v>
      </c>
      <c r="D147" t="s">
        <v>1023</v>
      </c>
      <c r="E147" t="s">
        <v>148</v>
      </c>
      <c r="F147">
        <v>8.4</v>
      </c>
      <c r="G147">
        <v>68</v>
      </c>
      <c r="H147" t="s">
        <v>1024</v>
      </c>
      <c r="I147" t="s">
        <v>1025</v>
      </c>
      <c r="J147" t="s">
        <v>398</v>
      </c>
      <c r="K147" t="s">
        <v>1026</v>
      </c>
      <c r="L147" t="s">
        <v>704</v>
      </c>
      <c r="M147">
        <v>834477</v>
      </c>
      <c r="N147" s="25">
        <v>678815482</v>
      </c>
      <c r="O147" s="26">
        <v>149</v>
      </c>
      <c r="P147" t="s">
        <v>96</v>
      </c>
    </row>
    <row r="148" spans="1:16" ht="15" customHeight="1" x14ac:dyDescent="0.3">
      <c r="A148" t="s">
        <v>1027</v>
      </c>
      <c r="B148" t="s">
        <v>137</v>
      </c>
      <c r="C148" t="s">
        <v>88</v>
      </c>
      <c r="D148" t="s">
        <v>484</v>
      </c>
      <c r="E148" t="s">
        <v>129</v>
      </c>
      <c r="F148">
        <v>7.7</v>
      </c>
      <c r="G148">
        <v>68</v>
      </c>
      <c r="H148" t="s">
        <v>1028</v>
      </c>
      <c r="I148" t="s">
        <v>1029</v>
      </c>
      <c r="J148" t="s">
        <v>1030</v>
      </c>
      <c r="K148" t="s">
        <v>1031</v>
      </c>
      <c r="L148" t="s">
        <v>1032</v>
      </c>
      <c r="M148">
        <v>137981</v>
      </c>
      <c r="N148" s="25">
        <v>4064200</v>
      </c>
      <c r="O148" s="26">
        <v>121</v>
      </c>
      <c r="P148" t="s">
        <v>135</v>
      </c>
    </row>
    <row r="149" spans="1:16" ht="15" customHeight="1" x14ac:dyDescent="0.3">
      <c r="A149" t="s">
        <v>1033</v>
      </c>
      <c r="B149" t="s">
        <v>502</v>
      </c>
      <c r="C149" t="s">
        <v>99</v>
      </c>
      <c r="D149" t="s">
        <v>524</v>
      </c>
      <c r="E149" t="s">
        <v>342</v>
      </c>
      <c r="F149">
        <v>7.6</v>
      </c>
      <c r="G149">
        <v>68</v>
      </c>
      <c r="H149" t="s">
        <v>1034</v>
      </c>
      <c r="I149" t="s">
        <v>677</v>
      </c>
      <c r="J149" t="s">
        <v>1035</v>
      </c>
      <c r="K149" t="s">
        <v>1036</v>
      </c>
      <c r="L149" t="s">
        <v>1037</v>
      </c>
      <c r="M149">
        <v>107325</v>
      </c>
      <c r="N149" s="25">
        <v>52929168</v>
      </c>
      <c r="O149" s="26">
        <v>120</v>
      </c>
      <c r="P149" t="s">
        <v>135</v>
      </c>
    </row>
    <row r="150" spans="1:16" ht="15" customHeight="1" x14ac:dyDescent="0.3">
      <c r="A150" t="s">
        <v>1038</v>
      </c>
      <c r="B150" t="s">
        <v>87</v>
      </c>
      <c r="C150" t="s">
        <v>78</v>
      </c>
      <c r="D150" t="s">
        <v>605</v>
      </c>
      <c r="E150" t="s">
        <v>1039</v>
      </c>
      <c r="F150">
        <v>8.1999999999999993</v>
      </c>
      <c r="G150">
        <v>68</v>
      </c>
      <c r="H150" t="s">
        <v>1040</v>
      </c>
      <c r="I150" t="s">
        <v>232</v>
      </c>
      <c r="J150" t="s">
        <v>1041</v>
      </c>
      <c r="K150" t="s">
        <v>1042</v>
      </c>
      <c r="L150" t="s">
        <v>1043</v>
      </c>
      <c r="M150">
        <v>74129</v>
      </c>
      <c r="N150" s="25">
        <v>1113541</v>
      </c>
      <c r="O150" s="26">
        <v>153</v>
      </c>
      <c r="P150" t="s">
        <v>71</v>
      </c>
    </row>
    <row r="151" spans="1:16" ht="15" customHeight="1" x14ac:dyDescent="0.3">
      <c r="A151" t="s">
        <v>1044</v>
      </c>
      <c r="B151" t="s">
        <v>98</v>
      </c>
      <c r="C151" t="s">
        <v>69</v>
      </c>
      <c r="D151" t="s">
        <v>108</v>
      </c>
      <c r="E151" t="s">
        <v>369</v>
      </c>
      <c r="F151">
        <v>8.1</v>
      </c>
      <c r="G151">
        <v>68</v>
      </c>
      <c r="H151" t="s">
        <v>1045</v>
      </c>
      <c r="I151" t="s">
        <v>1046</v>
      </c>
      <c r="J151" t="s">
        <v>1047</v>
      </c>
      <c r="K151" t="s">
        <v>1048</v>
      </c>
      <c r="L151" t="s">
        <v>1049</v>
      </c>
      <c r="M151">
        <v>48582</v>
      </c>
      <c r="N151" s="25">
        <v>1498210</v>
      </c>
      <c r="O151" s="26">
        <v>130</v>
      </c>
      <c r="P151" t="s">
        <v>71</v>
      </c>
    </row>
    <row r="152" spans="1:16" ht="15" customHeight="1" x14ac:dyDescent="0.3">
      <c r="A152" t="s">
        <v>1050</v>
      </c>
      <c r="B152" t="s">
        <v>270</v>
      </c>
      <c r="C152" t="s">
        <v>146</v>
      </c>
      <c r="D152" t="s">
        <v>854</v>
      </c>
      <c r="E152" t="s">
        <v>559</v>
      </c>
      <c r="F152">
        <v>7.8</v>
      </c>
      <c r="G152">
        <v>68</v>
      </c>
      <c r="H152" t="s">
        <v>1051</v>
      </c>
      <c r="I152" t="s">
        <v>1052</v>
      </c>
      <c r="J152" t="s">
        <v>1053</v>
      </c>
      <c r="K152" t="s">
        <v>1054</v>
      </c>
      <c r="L152" t="s">
        <v>1055</v>
      </c>
      <c r="M152">
        <v>291018</v>
      </c>
      <c r="N152" s="25">
        <v>50866635</v>
      </c>
      <c r="O152" s="26">
        <v>139</v>
      </c>
      <c r="P152" t="s">
        <v>96</v>
      </c>
    </row>
    <row r="153" spans="1:16" ht="15" customHeight="1" x14ac:dyDescent="0.3">
      <c r="A153" t="s">
        <v>1056</v>
      </c>
      <c r="B153" t="s">
        <v>465</v>
      </c>
      <c r="C153" t="s">
        <v>146</v>
      </c>
      <c r="D153" t="s">
        <v>517</v>
      </c>
      <c r="E153" t="s">
        <v>1057</v>
      </c>
      <c r="F153">
        <v>8.3000000000000007</v>
      </c>
      <c r="G153">
        <v>68</v>
      </c>
      <c r="H153" t="s">
        <v>1051</v>
      </c>
      <c r="I153" t="s">
        <v>1051</v>
      </c>
      <c r="J153" t="s">
        <v>1058</v>
      </c>
      <c r="K153" t="s">
        <v>1059</v>
      </c>
      <c r="L153" t="s">
        <v>1060</v>
      </c>
      <c r="M153">
        <v>959181</v>
      </c>
      <c r="N153" s="25">
        <v>75600000</v>
      </c>
      <c r="O153" s="26">
        <v>178</v>
      </c>
      <c r="P153" t="s">
        <v>204</v>
      </c>
    </row>
    <row r="154" spans="1:16" ht="15" customHeight="1" x14ac:dyDescent="0.3">
      <c r="A154" t="s">
        <v>1061</v>
      </c>
      <c r="B154" t="s">
        <v>389</v>
      </c>
      <c r="C154" t="s">
        <v>88</v>
      </c>
      <c r="D154" t="s">
        <v>1062</v>
      </c>
      <c r="E154" t="s">
        <v>71</v>
      </c>
      <c r="F154">
        <v>7.6</v>
      </c>
      <c r="G154">
        <v>68</v>
      </c>
      <c r="H154" t="s">
        <v>1063</v>
      </c>
      <c r="I154" t="s">
        <v>195</v>
      </c>
      <c r="J154" t="s">
        <v>1064</v>
      </c>
      <c r="K154" t="s">
        <v>931</v>
      </c>
      <c r="L154" t="s">
        <v>103</v>
      </c>
      <c r="M154">
        <v>169708</v>
      </c>
      <c r="N154" s="25">
        <v>13060843</v>
      </c>
      <c r="O154" s="26">
        <v>135</v>
      </c>
      <c r="P154" t="s">
        <v>71</v>
      </c>
    </row>
    <row r="155" spans="1:16" ht="15" customHeight="1" x14ac:dyDescent="0.3">
      <c r="A155" t="s">
        <v>1065</v>
      </c>
      <c r="B155" t="s">
        <v>1066</v>
      </c>
      <c r="C155" t="s">
        <v>99</v>
      </c>
      <c r="D155" t="s">
        <v>410</v>
      </c>
      <c r="E155" t="s">
        <v>71</v>
      </c>
      <c r="F155">
        <v>7.6</v>
      </c>
      <c r="G155">
        <v>68</v>
      </c>
      <c r="H155" t="s">
        <v>1067</v>
      </c>
      <c r="I155" t="s">
        <v>1068</v>
      </c>
      <c r="J155" t="s">
        <v>1069</v>
      </c>
      <c r="K155" t="s">
        <v>1070</v>
      </c>
      <c r="L155" t="s">
        <v>1071</v>
      </c>
      <c r="M155">
        <v>27650</v>
      </c>
      <c r="N155" s="25">
        <v>119285432</v>
      </c>
      <c r="O155" s="26">
        <v>109</v>
      </c>
      <c r="P155" t="s">
        <v>71</v>
      </c>
    </row>
    <row r="156" spans="1:16" ht="15" customHeight="1" x14ac:dyDescent="0.3">
      <c r="A156" t="s">
        <v>1072</v>
      </c>
      <c r="B156" t="s">
        <v>753</v>
      </c>
      <c r="C156" t="s">
        <v>88</v>
      </c>
      <c r="D156" t="s">
        <v>190</v>
      </c>
      <c r="E156" t="s">
        <v>905</v>
      </c>
      <c r="F156">
        <v>7.8</v>
      </c>
      <c r="G156">
        <v>68</v>
      </c>
      <c r="H156" t="s">
        <v>657</v>
      </c>
      <c r="I156" t="s">
        <v>1073</v>
      </c>
      <c r="J156" t="s">
        <v>303</v>
      </c>
      <c r="K156" t="s">
        <v>1074</v>
      </c>
      <c r="L156" t="s">
        <v>1075</v>
      </c>
      <c r="M156">
        <v>55362</v>
      </c>
      <c r="N156" s="25">
        <v>2015810</v>
      </c>
      <c r="O156" s="26">
        <v>129</v>
      </c>
      <c r="P156" t="s">
        <v>135</v>
      </c>
    </row>
    <row r="157" spans="1:16" ht="15" customHeight="1" x14ac:dyDescent="0.3">
      <c r="A157" t="s">
        <v>1076</v>
      </c>
      <c r="B157" t="s">
        <v>574</v>
      </c>
      <c r="C157" t="s">
        <v>88</v>
      </c>
      <c r="D157" t="s">
        <v>1077</v>
      </c>
      <c r="E157" t="s">
        <v>135</v>
      </c>
      <c r="F157">
        <v>7.7</v>
      </c>
      <c r="G157">
        <v>68</v>
      </c>
      <c r="H157" t="s">
        <v>1078</v>
      </c>
      <c r="I157" t="s">
        <v>1079</v>
      </c>
      <c r="J157" t="s">
        <v>1080</v>
      </c>
      <c r="K157" t="s">
        <v>1081</v>
      </c>
      <c r="L157" t="s">
        <v>1082</v>
      </c>
      <c r="M157">
        <v>241575</v>
      </c>
      <c r="N157" s="25">
        <v>10824921</v>
      </c>
      <c r="O157" s="26">
        <v>89</v>
      </c>
      <c r="P157" t="s">
        <v>135</v>
      </c>
    </row>
    <row r="158" spans="1:16" ht="15" customHeight="1" x14ac:dyDescent="0.3">
      <c r="A158" t="s">
        <v>1083</v>
      </c>
      <c r="B158" t="s">
        <v>198</v>
      </c>
      <c r="C158" t="s">
        <v>146</v>
      </c>
      <c r="D158" t="s">
        <v>1084</v>
      </c>
      <c r="E158" t="s">
        <v>71</v>
      </c>
      <c r="F158">
        <v>8.3000000000000007</v>
      </c>
      <c r="G158">
        <v>68</v>
      </c>
      <c r="H158" t="s">
        <v>1085</v>
      </c>
      <c r="I158" t="s">
        <v>1086</v>
      </c>
      <c r="J158" t="s">
        <v>631</v>
      </c>
      <c r="K158" t="s">
        <v>762</v>
      </c>
      <c r="L158" t="s">
        <v>1087</v>
      </c>
      <c r="M158">
        <v>766870</v>
      </c>
      <c r="N158" s="25">
        <v>3635482</v>
      </c>
      <c r="O158" s="26">
        <v>102</v>
      </c>
      <c r="P158" t="s">
        <v>71</v>
      </c>
    </row>
    <row r="159" spans="1:16" ht="15" customHeight="1" x14ac:dyDescent="0.3">
      <c r="A159" t="s">
        <v>1088</v>
      </c>
      <c r="B159" t="s">
        <v>270</v>
      </c>
      <c r="C159" t="s">
        <v>78</v>
      </c>
      <c r="D159" t="s">
        <v>315</v>
      </c>
      <c r="E159" t="s">
        <v>1089</v>
      </c>
      <c r="F159">
        <v>7.6</v>
      </c>
      <c r="G159">
        <v>68</v>
      </c>
      <c r="H159" t="s">
        <v>1090</v>
      </c>
      <c r="I159" t="s">
        <v>195</v>
      </c>
      <c r="J159" t="s">
        <v>1091</v>
      </c>
      <c r="K159" t="s">
        <v>1092</v>
      </c>
      <c r="L159" t="s">
        <v>842</v>
      </c>
      <c r="M159">
        <v>354728</v>
      </c>
      <c r="N159" s="25">
        <v>39868642</v>
      </c>
      <c r="O159" s="26">
        <v>110</v>
      </c>
      <c r="P159" t="s">
        <v>71</v>
      </c>
    </row>
    <row r="160" spans="1:16" ht="15" customHeight="1" x14ac:dyDescent="0.3">
      <c r="A160" t="s">
        <v>1093</v>
      </c>
      <c r="B160" t="s">
        <v>145</v>
      </c>
      <c r="C160" t="s">
        <v>146</v>
      </c>
      <c r="D160" t="s">
        <v>410</v>
      </c>
      <c r="E160" t="s">
        <v>820</v>
      </c>
      <c r="F160">
        <v>7.6</v>
      </c>
      <c r="G160">
        <v>68</v>
      </c>
      <c r="H160" t="s">
        <v>644</v>
      </c>
      <c r="I160" t="s">
        <v>1051</v>
      </c>
      <c r="J160" t="s">
        <v>160</v>
      </c>
      <c r="K160" t="s">
        <v>1094</v>
      </c>
      <c r="L160" t="s">
        <v>1095</v>
      </c>
      <c r="M160">
        <v>236894</v>
      </c>
      <c r="N160" s="25">
        <v>65207127</v>
      </c>
      <c r="O160" s="26">
        <v>109</v>
      </c>
      <c r="P160" t="s">
        <v>96</v>
      </c>
    </row>
    <row r="161" spans="1:16" ht="15" customHeight="1" x14ac:dyDescent="0.3">
      <c r="A161" t="s">
        <v>1096</v>
      </c>
      <c r="B161" t="s">
        <v>68</v>
      </c>
      <c r="C161" t="s">
        <v>146</v>
      </c>
      <c r="D161" t="s">
        <v>490</v>
      </c>
      <c r="E161" t="s">
        <v>223</v>
      </c>
      <c r="F161">
        <v>7.7</v>
      </c>
      <c r="G161">
        <v>69</v>
      </c>
      <c r="H161" t="s">
        <v>1097</v>
      </c>
      <c r="I161" t="s">
        <v>176</v>
      </c>
      <c r="J161" t="s">
        <v>630</v>
      </c>
      <c r="K161" t="s">
        <v>1098</v>
      </c>
      <c r="L161" t="s">
        <v>1099</v>
      </c>
      <c r="M161">
        <v>390247</v>
      </c>
      <c r="N161" s="25">
        <v>76631907</v>
      </c>
      <c r="O161" s="26">
        <v>122</v>
      </c>
      <c r="P161" t="s">
        <v>172</v>
      </c>
    </row>
    <row r="162" spans="1:16" ht="15" customHeight="1" x14ac:dyDescent="0.3">
      <c r="A162" t="s">
        <v>1100</v>
      </c>
      <c r="B162" t="s">
        <v>779</v>
      </c>
      <c r="C162" t="s">
        <v>78</v>
      </c>
      <c r="D162" t="s">
        <v>117</v>
      </c>
      <c r="E162" t="s">
        <v>713</v>
      </c>
      <c r="F162">
        <v>8</v>
      </c>
      <c r="G162">
        <v>69</v>
      </c>
      <c r="H162" t="s">
        <v>1101</v>
      </c>
      <c r="I162" t="s">
        <v>1102</v>
      </c>
      <c r="J162" t="s">
        <v>519</v>
      </c>
      <c r="K162" t="s">
        <v>1103</v>
      </c>
      <c r="L162" t="s">
        <v>1104</v>
      </c>
      <c r="M162">
        <v>213970</v>
      </c>
      <c r="N162" s="25">
        <v>51739495</v>
      </c>
      <c r="O162" s="26">
        <v>118</v>
      </c>
      <c r="P162" t="s">
        <v>204</v>
      </c>
    </row>
    <row r="163" spans="1:16" ht="15" customHeight="1" x14ac:dyDescent="0.3">
      <c r="A163" t="s">
        <v>1105</v>
      </c>
      <c r="B163" t="s">
        <v>1106</v>
      </c>
      <c r="C163" t="s">
        <v>146</v>
      </c>
      <c r="D163" t="s">
        <v>1062</v>
      </c>
      <c r="E163" t="s">
        <v>1107</v>
      </c>
      <c r="F163">
        <v>7.8</v>
      </c>
      <c r="G163">
        <v>69</v>
      </c>
      <c r="H163" t="s">
        <v>242</v>
      </c>
      <c r="I163" t="s">
        <v>242</v>
      </c>
      <c r="J163" t="s">
        <v>1108</v>
      </c>
      <c r="K163" t="s">
        <v>1109</v>
      </c>
      <c r="L163" t="s">
        <v>600</v>
      </c>
      <c r="M163">
        <v>65659</v>
      </c>
      <c r="N163" s="25">
        <v>31800000</v>
      </c>
      <c r="O163" s="26">
        <v>135</v>
      </c>
      <c r="P163" t="s">
        <v>1107</v>
      </c>
    </row>
    <row r="164" spans="1:16" ht="15" customHeight="1" x14ac:dyDescent="0.3">
      <c r="A164" t="s">
        <v>1110</v>
      </c>
      <c r="B164" t="s">
        <v>198</v>
      </c>
      <c r="C164" t="s">
        <v>78</v>
      </c>
      <c r="D164" t="s">
        <v>147</v>
      </c>
      <c r="E164" t="s">
        <v>1111</v>
      </c>
      <c r="F164">
        <v>7.7</v>
      </c>
      <c r="G164">
        <v>69</v>
      </c>
      <c r="H164" t="s">
        <v>874</v>
      </c>
      <c r="I164" t="s">
        <v>875</v>
      </c>
      <c r="J164" t="s">
        <v>1112</v>
      </c>
      <c r="K164" t="s">
        <v>877</v>
      </c>
      <c r="L164" t="s">
        <v>1113</v>
      </c>
      <c r="M164">
        <v>286742</v>
      </c>
      <c r="N164" s="25">
        <v>45512588</v>
      </c>
      <c r="O164" s="26">
        <v>107</v>
      </c>
      <c r="P164" t="s">
        <v>124</v>
      </c>
    </row>
    <row r="165" spans="1:16" ht="15" customHeight="1" x14ac:dyDescent="0.3">
      <c r="A165" t="s">
        <v>1114</v>
      </c>
      <c r="B165" t="s">
        <v>753</v>
      </c>
      <c r="C165" t="s">
        <v>78</v>
      </c>
      <c r="D165" t="s">
        <v>496</v>
      </c>
      <c r="E165" t="s">
        <v>1115</v>
      </c>
      <c r="F165">
        <v>7.7</v>
      </c>
      <c r="G165">
        <v>69</v>
      </c>
      <c r="H165" t="s">
        <v>874</v>
      </c>
      <c r="I165" t="s">
        <v>875</v>
      </c>
      <c r="J165" t="s">
        <v>877</v>
      </c>
      <c r="K165" t="s">
        <v>1116</v>
      </c>
      <c r="L165" t="s">
        <v>1117</v>
      </c>
      <c r="M165">
        <v>113240</v>
      </c>
      <c r="N165" s="25">
        <v>6153939</v>
      </c>
      <c r="O165" s="26">
        <v>116</v>
      </c>
      <c r="P165" t="s">
        <v>135</v>
      </c>
    </row>
    <row r="166" spans="1:16" ht="15" customHeight="1" x14ac:dyDescent="0.3">
      <c r="A166" t="s">
        <v>1118</v>
      </c>
      <c r="B166" t="s">
        <v>68</v>
      </c>
      <c r="C166" t="s">
        <v>78</v>
      </c>
      <c r="D166" t="s">
        <v>490</v>
      </c>
      <c r="E166" t="s">
        <v>1119</v>
      </c>
      <c r="F166">
        <v>8.3000000000000007</v>
      </c>
      <c r="G166">
        <v>69</v>
      </c>
      <c r="H166" t="s">
        <v>888</v>
      </c>
      <c r="I166" t="s">
        <v>1120</v>
      </c>
      <c r="J166" t="s">
        <v>1121</v>
      </c>
      <c r="K166" t="s">
        <v>1122</v>
      </c>
      <c r="L166" t="s">
        <v>1123</v>
      </c>
      <c r="M166">
        <v>703810</v>
      </c>
      <c r="N166" s="25">
        <v>33225499</v>
      </c>
      <c r="O166" s="26">
        <v>122</v>
      </c>
      <c r="P166" t="s">
        <v>135</v>
      </c>
    </row>
    <row r="167" spans="1:16" ht="15" customHeight="1" x14ac:dyDescent="0.3">
      <c r="A167" t="s">
        <v>1124</v>
      </c>
      <c r="B167" t="s">
        <v>434</v>
      </c>
      <c r="C167" t="s">
        <v>99</v>
      </c>
      <c r="D167" t="s">
        <v>681</v>
      </c>
      <c r="E167" t="s">
        <v>148</v>
      </c>
      <c r="F167">
        <v>8</v>
      </c>
      <c r="G167">
        <v>69</v>
      </c>
      <c r="H167" t="s">
        <v>1125</v>
      </c>
      <c r="I167" t="s">
        <v>398</v>
      </c>
      <c r="J167" t="s">
        <v>512</v>
      </c>
      <c r="K167" t="s">
        <v>476</v>
      </c>
      <c r="L167" t="s">
        <v>1126</v>
      </c>
      <c r="M167">
        <v>1260806</v>
      </c>
      <c r="N167" s="25">
        <v>623279547</v>
      </c>
      <c r="O167" s="26">
        <v>143</v>
      </c>
      <c r="P167" t="s">
        <v>96</v>
      </c>
    </row>
    <row r="168" spans="1:16" ht="15" customHeight="1" x14ac:dyDescent="0.3">
      <c r="A168" t="s">
        <v>1127</v>
      </c>
      <c r="B168" t="s">
        <v>465</v>
      </c>
      <c r="C168" t="s">
        <v>146</v>
      </c>
      <c r="D168" t="s">
        <v>1062</v>
      </c>
      <c r="E168" t="s">
        <v>301</v>
      </c>
      <c r="F168">
        <v>7.6</v>
      </c>
      <c r="G168">
        <v>69</v>
      </c>
      <c r="H168" t="s">
        <v>242</v>
      </c>
      <c r="I168" t="s">
        <v>242</v>
      </c>
      <c r="J168" t="s">
        <v>1128</v>
      </c>
      <c r="K168" t="s">
        <v>1129</v>
      </c>
      <c r="L168" t="s">
        <v>1130</v>
      </c>
      <c r="M168">
        <v>73172</v>
      </c>
      <c r="N168" s="25">
        <v>71516617</v>
      </c>
      <c r="O168" s="26">
        <v>135</v>
      </c>
      <c r="P168" t="s">
        <v>71</v>
      </c>
    </row>
    <row r="169" spans="1:16" ht="15" customHeight="1" x14ac:dyDescent="0.3">
      <c r="A169" t="s">
        <v>1131</v>
      </c>
      <c r="B169" t="s">
        <v>547</v>
      </c>
      <c r="C169" t="s">
        <v>99</v>
      </c>
      <c r="D169" t="s">
        <v>287</v>
      </c>
      <c r="E169" t="s">
        <v>301</v>
      </c>
      <c r="F169">
        <v>7.7</v>
      </c>
      <c r="G169">
        <v>69</v>
      </c>
      <c r="H169" t="s">
        <v>1132</v>
      </c>
      <c r="I169" t="s">
        <v>1133</v>
      </c>
      <c r="J169" t="s">
        <v>1134</v>
      </c>
      <c r="K169" t="s">
        <v>1135</v>
      </c>
      <c r="L169" t="s">
        <v>1013</v>
      </c>
      <c r="M169">
        <v>344312</v>
      </c>
      <c r="N169" s="25">
        <v>124872350</v>
      </c>
      <c r="O169" s="26">
        <v>126</v>
      </c>
      <c r="P169" t="s">
        <v>71</v>
      </c>
    </row>
    <row r="170" spans="1:16" ht="15" customHeight="1" x14ac:dyDescent="0.3">
      <c r="A170" t="s">
        <v>1136</v>
      </c>
      <c r="B170" t="s">
        <v>686</v>
      </c>
      <c r="C170" t="s">
        <v>146</v>
      </c>
      <c r="D170" t="s">
        <v>1137</v>
      </c>
      <c r="E170" t="s">
        <v>1138</v>
      </c>
      <c r="F170">
        <v>8</v>
      </c>
      <c r="G170">
        <v>69</v>
      </c>
      <c r="H170" t="s">
        <v>1139</v>
      </c>
      <c r="I170" t="s">
        <v>1140</v>
      </c>
      <c r="J170" t="s">
        <v>943</v>
      </c>
      <c r="K170" t="s">
        <v>1141</v>
      </c>
      <c r="L170" t="s">
        <v>1142</v>
      </c>
      <c r="M170">
        <v>69903</v>
      </c>
      <c r="N170" s="25">
        <v>111722000</v>
      </c>
      <c r="O170" s="26">
        <v>197</v>
      </c>
      <c r="P170" t="s">
        <v>71</v>
      </c>
    </row>
    <row r="171" spans="1:16" ht="15" customHeight="1" x14ac:dyDescent="0.3">
      <c r="A171" t="s">
        <v>1143</v>
      </c>
      <c r="B171" t="s">
        <v>137</v>
      </c>
      <c r="C171" t="s">
        <v>88</v>
      </c>
      <c r="D171" t="s">
        <v>1144</v>
      </c>
      <c r="E171" t="s">
        <v>90</v>
      </c>
      <c r="F171">
        <v>8.1</v>
      </c>
      <c r="G171">
        <v>69</v>
      </c>
      <c r="H171" t="s">
        <v>1003</v>
      </c>
      <c r="I171" t="s">
        <v>746</v>
      </c>
      <c r="J171" t="s">
        <v>1145</v>
      </c>
      <c r="K171" t="s">
        <v>1146</v>
      </c>
      <c r="L171" t="s">
        <v>1147</v>
      </c>
      <c r="M171">
        <v>1000639</v>
      </c>
      <c r="N171" s="25">
        <v>70099045</v>
      </c>
      <c r="O171" s="26">
        <v>111</v>
      </c>
      <c r="P171" t="s">
        <v>96</v>
      </c>
    </row>
    <row r="172" spans="1:16" ht="15" customHeight="1" x14ac:dyDescent="0.3">
      <c r="A172" t="s">
        <v>1148</v>
      </c>
      <c r="B172" t="s">
        <v>261</v>
      </c>
      <c r="C172" t="s">
        <v>99</v>
      </c>
      <c r="D172" t="s">
        <v>239</v>
      </c>
      <c r="E172" t="s">
        <v>1057</v>
      </c>
      <c r="F172">
        <v>8</v>
      </c>
      <c r="G172">
        <v>69</v>
      </c>
      <c r="H172" t="s">
        <v>1149</v>
      </c>
      <c r="I172" t="s">
        <v>926</v>
      </c>
      <c r="J172" t="s">
        <v>1150</v>
      </c>
      <c r="K172" t="s">
        <v>1151</v>
      </c>
      <c r="L172" t="s">
        <v>1092</v>
      </c>
      <c r="M172">
        <v>176151</v>
      </c>
      <c r="N172" s="25">
        <v>61649911</v>
      </c>
      <c r="O172" s="26">
        <v>144</v>
      </c>
      <c r="P172" t="s">
        <v>204</v>
      </c>
    </row>
    <row r="173" spans="1:16" ht="15" customHeight="1" x14ac:dyDescent="0.3">
      <c r="A173" t="s">
        <v>1152</v>
      </c>
      <c r="B173" t="s">
        <v>294</v>
      </c>
      <c r="C173" t="s">
        <v>146</v>
      </c>
      <c r="D173" t="s">
        <v>605</v>
      </c>
      <c r="E173" t="s">
        <v>1153</v>
      </c>
      <c r="F173">
        <v>8.3000000000000007</v>
      </c>
      <c r="G173">
        <v>69</v>
      </c>
      <c r="H173" t="s">
        <v>1003</v>
      </c>
      <c r="I173" t="s">
        <v>227</v>
      </c>
      <c r="J173" t="s">
        <v>671</v>
      </c>
      <c r="K173" t="s">
        <v>1154</v>
      </c>
      <c r="L173" t="s">
        <v>1155</v>
      </c>
      <c r="M173">
        <v>1267869</v>
      </c>
      <c r="N173" s="25">
        <v>120540719</v>
      </c>
      <c r="O173" s="26">
        <v>153</v>
      </c>
      <c r="P173" t="s">
        <v>124</v>
      </c>
    </row>
    <row r="174" spans="1:16" ht="15" customHeight="1" x14ac:dyDescent="0.3">
      <c r="A174" t="s">
        <v>1156</v>
      </c>
      <c r="B174" t="s">
        <v>206</v>
      </c>
      <c r="C174" t="s">
        <v>99</v>
      </c>
      <c r="D174" t="s">
        <v>108</v>
      </c>
      <c r="E174" t="s">
        <v>403</v>
      </c>
      <c r="F174">
        <v>8.1999999999999993</v>
      </c>
      <c r="G174">
        <v>69</v>
      </c>
      <c r="H174" t="s">
        <v>1157</v>
      </c>
      <c r="I174" t="s">
        <v>1158</v>
      </c>
      <c r="J174" t="s">
        <v>1159</v>
      </c>
      <c r="K174" t="s">
        <v>1160</v>
      </c>
      <c r="L174" t="s">
        <v>1161</v>
      </c>
      <c r="M174">
        <v>377884</v>
      </c>
      <c r="N174" s="25">
        <v>85080171</v>
      </c>
      <c r="O174" s="26">
        <v>130</v>
      </c>
      <c r="P174" t="s">
        <v>204</v>
      </c>
    </row>
    <row r="175" spans="1:16" ht="15" customHeight="1" x14ac:dyDescent="0.3">
      <c r="A175" t="s">
        <v>1162</v>
      </c>
      <c r="B175" t="s">
        <v>137</v>
      </c>
      <c r="C175" t="s">
        <v>99</v>
      </c>
      <c r="D175" t="s">
        <v>279</v>
      </c>
      <c r="E175" t="s">
        <v>223</v>
      </c>
      <c r="F175">
        <v>7.6</v>
      </c>
      <c r="G175">
        <v>70</v>
      </c>
      <c r="H175" t="s">
        <v>1163</v>
      </c>
      <c r="I175" t="s">
        <v>72</v>
      </c>
      <c r="J175" t="s">
        <v>121</v>
      </c>
      <c r="K175" t="s">
        <v>1164</v>
      </c>
      <c r="L175" t="s">
        <v>1165</v>
      </c>
      <c r="M175">
        <v>224545</v>
      </c>
      <c r="N175" s="25">
        <v>16290476</v>
      </c>
      <c r="O175" s="26">
        <v>124</v>
      </c>
      <c r="P175" t="s">
        <v>172</v>
      </c>
    </row>
    <row r="176" spans="1:16" ht="15" customHeight="1" x14ac:dyDescent="0.3">
      <c r="A176" t="s">
        <v>1166</v>
      </c>
      <c r="B176" t="s">
        <v>1001</v>
      </c>
      <c r="C176" t="s">
        <v>69</v>
      </c>
      <c r="D176" t="s">
        <v>496</v>
      </c>
      <c r="E176" t="s">
        <v>129</v>
      </c>
      <c r="F176">
        <v>7.7</v>
      </c>
      <c r="G176">
        <v>70</v>
      </c>
      <c r="H176" t="s">
        <v>1167</v>
      </c>
      <c r="I176" t="s">
        <v>1168</v>
      </c>
      <c r="J176" t="s">
        <v>1169</v>
      </c>
      <c r="K176" t="s">
        <v>1170</v>
      </c>
      <c r="L176" t="s">
        <v>1171</v>
      </c>
      <c r="M176">
        <v>47444</v>
      </c>
      <c r="N176" s="25">
        <v>3358518</v>
      </c>
      <c r="O176" s="26">
        <v>116</v>
      </c>
      <c r="P176" t="s">
        <v>135</v>
      </c>
    </row>
    <row r="177" spans="1:16" ht="15" customHeight="1" x14ac:dyDescent="0.3">
      <c r="A177" t="s">
        <v>1172</v>
      </c>
      <c r="B177" t="s">
        <v>107</v>
      </c>
      <c r="C177" t="s">
        <v>146</v>
      </c>
      <c r="D177" t="s">
        <v>605</v>
      </c>
      <c r="E177" t="s">
        <v>191</v>
      </c>
      <c r="F177">
        <v>8.1</v>
      </c>
      <c r="G177">
        <v>70</v>
      </c>
      <c r="H177" t="s">
        <v>1173</v>
      </c>
      <c r="I177" t="s">
        <v>848</v>
      </c>
      <c r="J177" t="s">
        <v>1018</v>
      </c>
      <c r="K177" t="s">
        <v>618</v>
      </c>
      <c r="L177" t="s">
        <v>1174</v>
      </c>
      <c r="M177">
        <v>601149</v>
      </c>
      <c r="N177" s="25">
        <v>61002302</v>
      </c>
      <c r="O177" s="26">
        <v>153</v>
      </c>
      <c r="P177" t="s">
        <v>172</v>
      </c>
    </row>
    <row r="178" spans="1:16" ht="15" customHeight="1" x14ac:dyDescent="0.3">
      <c r="A178" t="s">
        <v>1175</v>
      </c>
      <c r="B178" t="s">
        <v>270</v>
      </c>
      <c r="C178" t="s">
        <v>69</v>
      </c>
      <c r="D178" t="s">
        <v>341</v>
      </c>
      <c r="E178" t="s">
        <v>247</v>
      </c>
      <c r="F178">
        <v>7.6</v>
      </c>
      <c r="G178">
        <v>70</v>
      </c>
      <c r="H178" t="s">
        <v>1176</v>
      </c>
      <c r="I178" t="s">
        <v>1177</v>
      </c>
      <c r="J178" t="s">
        <v>1178</v>
      </c>
      <c r="K178" t="s">
        <v>1179</v>
      </c>
      <c r="L178" t="s">
        <v>1180</v>
      </c>
      <c r="M178">
        <v>72863</v>
      </c>
      <c r="N178" s="25">
        <v>24633730</v>
      </c>
      <c r="O178" s="26">
        <v>104</v>
      </c>
      <c r="P178" t="s">
        <v>96</v>
      </c>
    </row>
    <row r="179" spans="1:16" ht="15" customHeight="1" x14ac:dyDescent="0.3">
      <c r="A179" t="s">
        <v>1181</v>
      </c>
      <c r="B179" t="s">
        <v>261</v>
      </c>
      <c r="C179" t="s">
        <v>69</v>
      </c>
      <c r="D179" t="s">
        <v>496</v>
      </c>
      <c r="E179" t="s">
        <v>1182</v>
      </c>
      <c r="F179">
        <v>7.7</v>
      </c>
      <c r="G179">
        <v>70</v>
      </c>
      <c r="H179" t="s">
        <v>1183</v>
      </c>
      <c r="I179" t="s">
        <v>671</v>
      </c>
      <c r="J179" t="s">
        <v>1184</v>
      </c>
      <c r="K179" t="s">
        <v>140</v>
      </c>
      <c r="L179" t="s">
        <v>1185</v>
      </c>
      <c r="M179">
        <v>28003</v>
      </c>
      <c r="N179" s="25">
        <v>1054361</v>
      </c>
      <c r="O179" s="26">
        <v>116</v>
      </c>
      <c r="P179" t="s">
        <v>71</v>
      </c>
    </row>
    <row r="180" spans="1:16" ht="15" customHeight="1" x14ac:dyDescent="0.3">
      <c r="A180" t="s">
        <v>1186</v>
      </c>
      <c r="B180" t="s">
        <v>1106</v>
      </c>
      <c r="C180" t="s">
        <v>78</v>
      </c>
      <c r="D180" t="s">
        <v>524</v>
      </c>
      <c r="E180" t="s">
        <v>109</v>
      </c>
      <c r="F180">
        <v>8.1</v>
      </c>
      <c r="G180">
        <v>70</v>
      </c>
      <c r="H180" t="s">
        <v>1187</v>
      </c>
      <c r="I180" t="s">
        <v>597</v>
      </c>
      <c r="J180" t="s">
        <v>536</v>
      </c>
      <c r="K180" t="s">
        <v>1188</v>
      </c>
      <c r="L180" t="s">
        <v>151</v>
      </c>
      <c r="M180">
        <v>518546</v>
      </c>
      <c r="N180" s="25">
        <v>117235247</v>
      </c>
      <c r="O180" s="26">
        <v>120</v>
      </c>
      <c r="P180" t="s">
        <v>71</v>
      </c>
    </row>
    <row r="181" spans="1:16" ht="15" customHeight="1" x14ac:dyDescent="0.3">
      <c r="A181" t="s">
        <v>1189</v>
      </c>
      <c r="B181" t="s">
        <v>547</v>
      </c>
      <c r="C181" t="s">
        <v>99</v>
      </c>
      <c r="D181" t="s">
        <v>960</v>
      </c>
      <c r="E181" t="s">
        <v>148</v>
      </c>
      <c r="F181">
        <v>7.7</v>
      </c>
      <c r="G181">
        <v>70</v>
      </c>
      <c r="H181" t="s">
        <v>1024</v>
      </c>
      <c r="I181" t="s">
        <v>1025</v>
      </c>
      <c r="J181" t="s">
        <v>512</v>
      </c>
      <c r="K181" t="s">
        <v>468</v>
      </c>
      <c r="L181" t="s">
        <v>476</v>
      </c>
      <c r="M181">
        <v>736182</v>
      </c>
      <c r="N181" s="25">
        <v>259766572</v>
      </c>
      <c r="O181" s="26">
        <v>136</v>
      </c>
      <c r="P181" t="s">
        <v>96</v>
      </c>
    </row>
    <row r="182" spans="1:16" ht="15" customHeight="1" x14ac:dyDescent="0.3">
      <c r="A182" t="s">
        <v>1190</v>
      </c>
      <c r="B182" t="s">
        <v>1001</v>
      </c>
      <c r="C182" t="s">
        <v>127</v>
      </c>
      <c r="D182" t="s">
        <v>418</v>
      </c>
      <c r="E182" t="s">
        <v>1191</v>
      </c>
      <c r="F182">
        <v>7.7</v>
      </c>
      <c r="G182">
        <v>70</v>
      </c>
      <c r="H182" t="s">
        <v>1192</v>
      </c>
      <c r="I182" t="s">
        <v>1193</v>
      </c>
      <c r="J182" t="s">
        <v>1194</v>
      </c>
      <c r="K182" t="s">
        <v>305</v>
      </c>
      <c r="L182" t="s">
        <v>141</v>
      </c>
      <c r="M182">
        <v>56720</v>
      </c>
      <c r="N182" s="25">
        <v>1339152</v>
      </c>
      <c r="O182" s="26">
        <v>108</v>
      </c>
      <c r="P182" t="s">
        <v>572</v>
      </c>
    </row>
    <row r="183" spans="1:16" ht="15" customHeight="1" x14ac:dyDescent="0.3">
      <c r="A183" t="s">
        <v>1195</v>
      </c>
      <c r="B183" t="s">
        <v>98</v>
      </c>
      <c r="C183" t="s">
        <v>99</v>
      </c>
      <c r="D183" t="s">
        <v>1196</v>
      </c>
      <c r="E183" t="s">
        <v>668</v>
      </c>
      <c r="F183">
        <v>7.8</v>
      </c>
      <c r="G183">
        <v>70</v>
      </c>
      <c r="H183" t="s">
        <v>602</v>
      </c>
      <c r="I183" t="s">
        <v>227</v>
      </c>
      <c r="J183" t="s">
        <v>1197</v>
      </c>
      <c r="K183" t="s">
        <v>1198</v>
      </c>
      <c r="L183" t="s">
        <v>1199</v>
      </c>
      <c r="M183">
        <v>589160</v>
      </c>
      <c r="N183" s="25">
        <v>127509326</v>
      </c>
      <c r="O183" s="26">
        <v>166</v>
      </c>
      <c r="P183" t="s">
        <v>71</v>
      </c>
    </row>
    <row r="184" spans="1:16" ht="15" customHeight="1" x14ac:dyDescent="0.3">
      <c r="A184" t="s">
        <v>1200</v>
      </c>
      <c r="B184" t="s">
        <v>749</v>
      </c>
      <c r="C184" t="s">
        <v>78</v>
      </c>
      <c r="D184" t="s">
        <v>786</v>
      </c>
      <c r="E184" t="s">
        <v>403</v>
      </c>
      <c r="F184">
        <v>7.8</v>
      </c>
      <c r="G184">
        <v>70</v>
      </c>
      <c r="H184" t="s">
        <v>428</v>
      </c>
      <c r="I184" t="s">
        <v>120</v>
      </c>
      <c r="J184" t="s">
        <v>1201</v>
      </c>
      <c r="K184" t="s">
        <v>1202</v>
      </c>
      <c r="L184" t="s">
        <v>480</v>
      </c>
      <c r="M184">
        <v>164937</v>
      </c>
      <c r="N184" s="25">
        <v>5887457</v>
      </c>
      <c r="O184" s="26">
        <v>127</v>
      </c>
      <c r="P184" t="s">
        <v>204</v>
      </c>
    </row>
    <row r="185" spans="1:16" ht="15" customHeight="1" x14ac:dyDescent="0.3">
      <c r="A185" t="s">
        <v>1203</v>
      </c>
      <c r="B185" t="s">
        <v>749</v>
      </c>
      <c r="C185" t="s">
        <v>88</v>
      </c>
      <c r="D185" t="s">
        <v>819</v>
      </c>
      <c r="E185" t="s">
        <v>135</v>
      </c>
      <c r="F185">
        <v>7.7</v>
      </c>
      <c r="G185">
        <v>70</v>
      </c>
      <c r="H185" t="s">
        <v>1204</v>
      </c>
      <c r="I185" t="s">
        <v>1205</v>
      </c>
      <c r="J185" t="s">
        <v>1206</v>
      </c>
      <c r="K185" t="s">
        <v>1207</v>
      </c>
      <c r="L185" t="s">
        <v>1208</v>
      </c>
      <c r="M185">
        <v>211450</v>
      </c>
      <c r="N185" s="25">
        <v>3151130</v>
      </c>
      <c r="O185" s="26">
        <v>92</v>
      </c>
      <c r="P185" t="s">
        <v>135</v>
      </c>
    </row>
    <row r="186" spans="1:16" ht="15" customHeight="1" x14ac:dyDescent="0.3">
      <c r="A186" t="s">
        <v>1209</v>
      </c>
      <c r="B186" t="s">
        <v>286</v>
      </c>
      <c r="C186" t="s">
        <v>78</v>
      </c>
      <c r="D186" t="s">
        <v>287</v>
      </c>
      <c r="E186" t="s">
        <v>301</v>
      </c>
      <c r="F186">
        <v>8.3000000000000007</v>
      </c>
      <c r="G186">
        <v>70</v>
      </c>
      <c r="H186" t="s">
        <v>1210</v>
      </c>
      <c r="I186" t="s">
        <v>1211</v>
      </c>
      <c r="J186" t="s">
        <v>997</v>
      </c>
      <c r="K186" t="s">
        <v>1212</v>
      </c>
      <c r="L186" t="s">
        <v>1213</v>
      </c>
      <c r="M186">
        <v>861606</v>
      </c>
      <c r="N186" s="25">
        <v>138433435</v>
      </c>
      <c r="O186" s="26">
        <v>126</v>
      </c>
      <c r="P186" t="s">
        <v>71</v>
      </c>
    </row>
    <row r="187" spans="1:16" ht="15" customHeight="1" x14ac:dyDescent="0.3">
      <c r="A187" t="s">
        <v>1214</v>
      </c>
      <c r="B187" t="s">
        <v>261</v>
      </c>
      <c r="C187" t="s">
        <v>99</v>
      </c>
      <c r="D187" t="s">
        <v>583</v>
      </c>
      <c r="E187" t="s">
        <v>595</v>
      </c>
      <c r="F187">
        <v>8.1999999999999993</v>
      </c>
      <c r="G187">
        <v>70</v>
      </c>
      <c r="H187" t="s">
        <v>847</v>
      </c>
      <c r="I187" t="s">
        <v>590</v>
      </c>
      <c r="J187" t="s">
        <v>551</v>
      </c>
      <c r="K187" t="s">
        <v>356</v>
      </c>
      <c r="L187" t="s">
        <v>256</v>
      </c>
      <c r="M187">
        <v>1308302</v>
      </c>
      <c r="N187" s="25">
        <v>206852432</v>
      </c>
      <c r="O187" s="26">
        <v>140</v>
      </c>
      <c r="P187" t="s">
        <v>96</v>
      </c>
    </row>
    <row r="188" spans="1:16" ht="15" customHeight="1" x14ac:dyDescent="0.3">
      <c r="A188" t="s">
        <v>1215</v>
      </c>
      <c r="B188" t="s">
        <v>471</v>
      </c>
      <c r="C188" t="s">
        <v>69</v>
      </c>
      <c r="D188" t="s">
        <v>368</v>
      </c>
      <c r="E188" t="s">
        <v>118</v>
      </c>
      <c r="F188">
        <v>7.6</v>
      </c>
      <c r="G188">
        <v>70</v>
      </c>
      <c r="H188" t="s">
        <v>1216</v>
      </c>
      <c r="I188" t="s">
        <v>1217</v>
      </c>
      <c r="J188" t="s">
        <v>1218</v>
      </c>
      <c r="K188" t="s">
        <v>1219</v>
      </c>
      <c r="L188" t="s">
        <v>1220</v>
      </c>
      <c r="M188">
        <v>66346</v>
      </c>
      <c r="N188" s="25">
        <v>13122642</v>
      </c>
      <c r="O188" s="26">
        <v>97</v>
      </c>
      <c r="P188" t="s">
        <v>124</v>
      </c>
    </row>
    <row r="189" spans="1:16" ht="15" customHeight="1" x14ac:dyDescent="0.3">
      <c r="A189" t="s">
        <v>1221</v>
      </c>
      <c r="B189" t="s">
        <v>401</v>
      </c>
      <c r="C189" t="s">
        <v>88</v>
      </c>
      <c r="D189" t="s">
        <v>524</v>
      </c>
      <c r="E189" t="s">
        <v>1222</v>
      </c>
      <c r="F189">
        <v>7.6</v>
      </c>
      <c r="G189">
        <v>70</v>
      </c>
      <c r="H189" t="s">
        <v>1223</v>
      </c>
      <c r="I189" t="s">
        <v>1224</v>
      </c>
      <c r="J189" t="s">
        <v>1225</v>
      </c>
      <c r="K189" t="s">
        <v>1226</v>
      </c>
      <c r="L189" t="s">
        <v>1227</v>
      </c>
      <c r="M189">
        <v>138959</v>
      </c>
      <c r="N189" s="25">
        <v>3185812</v>
      </c>
      <c r="O189" s="26">
        <v>120</v>
      </c>
      <c r="P189" t="s">
        <v>71</v>
      </c>
    </row>
    <row r="190" spans="1:16" ht="15" customHeight="1" x14ac:dyDescent="0.3">
      <c r="A190" t="s">
        <v>1228</v>
      </c>
      <c r="B190" t="s">
        <v>206</v>
      </c>
      <c r="C190" t="s">
        <v>1229</v>
      </c>
      <c r="D190" t="s">
        <v>1084</v>
      </c>
      <c r="E190" t="s">
        <v>718</v>
      </c>
      <c r="F190">
        <v>7.6</v>
      </c>
      <c r="G190">
        <v>71</v>
      </c>
      <c r="H190" t="s">
        <v>1230</v>
      </c>
      <c r="I190" t="s">
        <v>1231</v>
      </c>
      <c r="J190" t="s">
        <v>1232</v>
      </c>
      <c r="K190" t="s">
        <v>1233</v>
      </c>
      <c r="L190" t="s">
        <v>1234</v>
      </c>
      <c r="M190">
        <v>140840</v>
      </c>
      <c r="N190" s="25">
        <v>26020957</v>
      </c>
      <c r="O190" s="26">
        <v>102</v>
      </c>
      <c r="P190" t="s">
        <v>71</v>
      </c>
    </row>
    <row r="191" spans="1:16" ht="15" customHeight="1" x14ac:dyDescent="0.3">
      <c r="A191" t="s">
        <v>1235</v>
      </c>
      <c r="B191" t="s">
        <v>779</v>
      </c>
      <c r="C191" t="s">
        <v>146</v>
      </c>
      <c r="D191" t="s">
        <v>854</v>
      </c>
      <c r="E191" t="s">
        <v>1057</v>
      </c>
      <c r="F191">
        <v>8.1</v>
      </c>
      <c r="G191">
        <v>71</v>
      </c>
      <c r="H191" t="s">
        <v>1051</v>
      </c>
      <c r="I191" t="s">
        <v>1236</v>
      </c>
      <c r="J191" t="s">
        <v>1237</v>
      </c>
      <c r="K191" t="s">
        <v>1238</v>
      </c>
      <c r="L191" t="s">
        <v>1239</v>
      </c>
      <c r="M191">
        <v>435928</v>
      </c>
      <c r="N191" s="25">
        <v>67209615</v>
      </c>
      <c r="O191" s="26">
        <v>139</v>
      </c>
      <c r="P191" t="s">
        <v>204</v>
      </c>
    </row>
    <row r="192" spans="1:16" ht="15" customHeight="1" x14ac:dyDescent="0.3">
      <c r="A192" t="s">
        <v>1240</v>
      </c>
      <c r="B192" t="s">
        <v>126</v>
      </c>
      <c r="C192" t="s">
        <v>78</v>
      </c>
      <c r="D192" t="s">
        <v>839</v>
      </c>
      <c r="E192" t="s">
        <v>1241</v>
      </c>
      <c r="F192">
        <v>7.7</v>
      </c>
      <c r="G192">
        <v>71</v>
      </c>
      <c r="H192" t="s">
        <v>1242</v>
      </c>
      <c r="I192" t="s">
        <v>1243</v>
      </c>
      <c r="J192" t="s">
        <v>1244</v>
      </c>
      <c r="K192" t="s">
        <v>1245</v>
      </c>
      <c r="L192" t="s">
        <v>1246</v>
      </c>
      <c r="M192">
        <v>405922</v>
      </c>
      <c r="N192" s="25">
        <v>200821936</v>
      </c>
      <c r="O192" s="26">
        <v>100</v>
      </c>
      <c r="P192" t="s">
        <v>572</v>
      </c>
    </row>
    <row r="193" spans="1:16" ht="15" customHeight="1" x14ac:dyDescent="0.3">
      <c r="A193" t="s">
        <v>1247</v>
      </c>
      <c r="B193" t="s">
        <v>547</v>
      </c>
      <c r="C193" t="s">
        <v>99</v>
      </c>
      <c r="D193" t="s">
        <v>79</v>
      </c>
      <c r="E193" t="s">
        <v>148</v>
      </c>
      <c r="F193">
        <v>7.9</v>
      </c>
      <c r="G193">
        <v>71</v>
      </c>
      <c r="H193" t="s">
        <v>996</v>
      </c>
      <c r="I193" t="s">
        <v>355</v>
      </c>
      <c r="J193" t="s">
        <v>1248</v>
      </c>
      <c r="K193" t="s">
        <v>1249</v>
      </c>
      <c r="L193" t="s">
        <v>947</v>
      </c>
      <c r="M193">
        <v>600004</v>
      </c>
      <c r="N193" s="25">
        <v>100206256</v>
      </c>
      <c r="O193" s="26">
        <v>113</v>
      </c>
      <c r="P193" t="s">
        <v>96</v>
      </c>
    </row>
    <row r="194" spans="1:16" ht="15" customHeight="1" x14ac:dyDescent="0.3">
      <c r="A194" t="s">
        <v>1250</v>
      </c>
      <c r="B194" t="s">
        <v>401</v>
      </c>
      <c r="C194" t="s">
        <v>88</v>
      </c>
      <c r="D194" t="s">
        <v>1251</v>
      </c>
      <c r="E194" t="s">
        <v>191</v>
      </c>
      <c r="F194">
        <v>7.8</v>
      </c>
      <c r="G194">
        <v>71</v>
      </c>
      <c r="H194" t="s">
        <v>602</v>
      </c>
      <c r="I194" t="s">
        <v>1252</v>
      </c>
      <c r="J194" t="s">
        <v>1103</v>
      </c>
      <c r="K194" t="s">
        <v>691</v>
      </c>
      <c r="L194" t="s">
        <v>1213</v>
      </c>
      <c r="M194">
        <v>423010</v>
      </c>
      <c r="N194" s="25">
        <v>102515793</v>
      </c>
      <c r="O194" s="26">
        <v>158</v>
      </c>
      <c r="P194" t="s">
        <v>172</v>
      </c>
    </row>
    <row r="195" spans="1:16" ht="15" customHeight="1" x14ac:dyDescent="0.3">
      <c r="A195" t="s">
        <v>1253</v>
      </c>
      <c r="B195" t="s">
        <v>547</v>
      </c>
      <c r="C195" t="s">
        <v>146</v>
      </c>
      <c r="D195" t="s">
        <v>1254</v>
      </c>
      <c r="E195" t="s">
        <v>820</v>
      </c>
      <c r="F195">
        <v>8</v>
      </c>
      <c r="G195">
        <v>71</v>
      </c>
      <c r="H195" t="s">
        <v>1255</v>
      </c>
      <c r="I195" t="s">
        <v>1256</v>
      </c>
      <c r="J195" t="s">
        <v>1257</v>
      </c>
      <c r="K195" t="s">
        <v>1258</v>
      </c>
      <c r="L195" t="s">
        <v>1259</v>
      </c>
      <c r="M195">
        <v>114316</v>
      </c>
      <c r="N195" s="25">
        <v>2625803</v>
      </c>
      <c r="O195" s="26">
        <v>150</v>
      </c>
      <c r="P195" t="s">
        <v>96</v>
      </c>
    </row>
    <row r="196" spans="1:16" ht="15" customHeight="1" x14ac:dyDescent="0.3">
      <c r="A196" t="s">
        <v>1260</v>
      </c>
      <c r="B196" t="s">
        <v>401</v>
      </c>
      <c r="C196" t="s">
        <v>99</v>
      </c>
      <c r="D196" t="s">
        <v>583</v>
      </c>
      <c r="E196" t="s">
        <v>1261</v>
      </c>
      <c r="F196">
        <v>8.1999999999999993</v>
      </c>
      <c r="G196">
        <v>71</v>
      </c>
      <c r="H196" t="s">
        <v>1262</v>
      </c>
      <c r="I196" t="s">
        <v>1263</v>
      </c>
      <c r="J196" t="s">
        <v>1264</v>
      </c>
      <c r="K196" t="s">
        <v>1265</v>
      </c>
      <c r="L196" t="s">
        <v>1266</v>
      </c>
      <c r="M196">
        <v>435950</v>
      </c>
      <c r="N196" s="25">
        <v>13657115</v>
      </c>
      <c r="O196" s="26">
        <v>140</v>
      </c>
      <c r="P196" t="s">
        <v>96</v>
      </c>
    </row>
    <row r="197" spans="1:16" ht="15" customHeight="1" x14ac:dyDescent="0.3">
      <c r="A197" t="s">
        <v>1267</v>
      </c>
      <c r="B197" t="s">
        <v>1268</v>
      </c>
      <c r="C197" t="s">
        <v>99</v>
      </c>
      <c r="D197" t="s">
        <v>1269</v>
      </c>
      <c r="E197" t="s">
        <v>1270</v>
      </c>
      <c r="F197">
        <v>7.8</v>
      </c>
      <c r="G197">
        <v>71</v>
      </c>
      <c r="H197" t="s">
        <v>1271</v>
      </c>
      <c r="I197" t="s">
        <v>1272</v>
      </c>
      <c r="J197" t="s">
        <v>543</v>
      </c>
      <c r="K197" t="s">
        <v>1273</v>
      </c>
      <c r="L197" t="s">
        <v>1274</v>
      </c>
      <c r="M197">
        <v>355413</v>
      </c>
      <c r="N197" s="25">
        <v>238632124</v>
      </c>
      <c r="O197" s="26">
        <v>105</v>
      </c>
      <c r="P197" t="s">
        <v>96</v>
      </c>
    </row>
    <row r="198" spans="1:16" ht="15" customHeight="1" x14ac:dyDescent="0.3">
      <c r="A198" t="s">
        <v>1275</v>
      </c>
      <c r="B198" t="s">
        <v>483</v>
      </c>
      <c r="C198" t="s">
        <v>146</v>
      </c>
      <c r="D198" t="s">
        <v>786</v>
      </c>
      <c r="E198" t="s">
        <v>1276</v>
      </c>
      <c r="F198">
        <v>7.9</v>
      </c>
      <c r="G198">
        <v>71</v>
      </c>
      <c r="H198" t="s">
        <v>1277</v>
      </c>
      <c r="I198" t="s">
        <v>1278</v>
      </c>
      <c r="J198" t="s">
        <v>1279</v>
      </c>
      <c r="K198" t="s">
        <v>1280</v>
      </c>
      <c r="L198" t="s">
        <v>1281</v>
      </c>
      <c r="M198">
        <v>111512</v>
      </c>
      <c r="N198" s="25">
        <v>5100000</v>
      </c>
      <c r="O198" s="26">
        <v>127</v>
      </c>
      <c r="P198" t="s">
        <v>96</v>
      </c>
    </row>
    <row r="199" spans="1:16" ht="15" customHeight="1" x14ac:dyDescent="0.3">
      <c r="A199" t="s">
        <v>1282</v>
      </c>
      <c r="B199" t="s">
        <v>270</v>
      </c>
      <c r="C199" t="s">
        <v>88</v>
      </c>
      <c r="D199" t="s">
        <v>1283</v>
      </c>
      <c r="E199" t="s">
        <v>1284</v>
      </c>
      <c r="F199">
        <v>7.7</v>
      </c>
      <c r="G199">
        <v>71</v>
      </c>
      <c r="H199" t="s">
        <v>1285</v>
      </c>
      <c r="I199" t="s">
        <v>1286</v>
      </c>
      <c r="J199" t="s">
        <v>1287</v>
      </c>
      <c r="K199" t="s">
        <v>1288</v>
      </c>
      <c r="L199" t="s">
        <v>1289</v>
      </c>
      <c r="M199">
        <v>72643</v>
      </c>
      <c r="N199" s="25">
        <v>4398392</v>
      </c>
      <c r="O199" s="26">
        <v>145</v>
      </c>
      <c r="P199" t="s">
        <v>71</v>
      </c>
    </row>
    <row r="200" spans="1:16" ht="15" customHeight="1" x14ac:dyDescent="0.3">
      <c r="A200" t="s">
        <v>1290</v>
      </c>
      <c r="B200" t="s">
        <v>116</v>
      </c>
      <c r="C200" t="s">
        <v>78</v>
      </c>
      <c r="D200" t="s">
        <v>1291</v>
      </c>
      <c r="E200" t="s">
        <v>772</v>
      </c>
      <c r="F200">
        <v>7.6</v>
      </c>
      <c r="G200">
        <v>71</v>
      </c>
      <c r="H200" t="s">
        <v>1292</v>
      </c>
      <c r="I200" t="s">
        <v>1293</v>
      </c>
      <c r="J200" t="s">
        <v>1294</v>
      </c>
      <c r="K200" t="s">
        <v>1295</v>
      </c>
      <c r="L200" t="s">
        <v>1296</v>
      </c>
      <c r="M200">
        <v>256906</v>
      </c>
      <c r="N200" s="25">
        <v>120620254</v>
      </c>
      <c r="O200" s="26">
        <v>88</v>
      </c>
      <c r="P200" t="s">
        <v>572</v>
      </c>
    </row>
    <row r="201" spans="1:16" ht="15" customHeight="1" x14ac:dyDescent="0.3">
      <c r="A201" t="s">
        <v>1297</v>
      </c>
      <c r="B201" t="s">
        <v>1106</v>
      </c>
      <c r="C201" t="s">
        <v>88</v>
      </c>
      <c r="D201" t="s">
        <v>287</v>
      </c>
      <c r="E201" t="s">
        <v>525</v>
      </c>
      <c r="F201">
        <v>7.7</v>
      </c>
      <c r="G201">
        <v>71</v>
      </c>
      <c r="H201" t="s">
        <v>1298</v>
      </c>
      <c r="I201" t="s">
        <v>1298</v>
      </c>
      <c r="J201" t="s">
        <v>1299</v>
      </c>
      <c r="K201" t="s">
        <v>1300</v>
      </c>
      <c r="L201" t="s">
        <v>1301</v>
      </c>
      <c r="M201">
        <v>39889</v>
      </c>
      <c r="N201" s="25">
        <v>1924733</v>
      </c>
      <c r="O201" s="26">
        <v>126</v>
      </c>
      <c r="P201" t="s">
        <v>71</v>
      </c>
    </row>
    <row r="202" spans="1:16" ht="15" customHeight="1" x14ac:dyDescent="0.3">
      <c r="A202" t="s">
        <v>1302</v>
      </c>
      <c r="B202" t="s">
        <v>145</v>
      </c>
      <c r="C202" t="s">
        <v>78</v>
      </c>
      <c r="D202" t="s">
        <v>138</v>
      </c>
      <c r="E202" t="s">
        <v>905</v>
      </c>
      <c r="F202">
        <v>7.6</v>
      </c>
      <c r="G202">
        <v>72</v>
      </c>
      <c r="H202" t="s">
        <v>553</v>
      </c>
      <c r="I202" t="s">
        <v>1303</v>
      </c>
      <c r="J202" t="s">
        <v>545</v>
      </c>
      <c r="K202" t="s">
        <v>1304</v>
      </c>
      <c r="L202" t="s">
        <v>1305</v>
      </c>
      <c r="M202">
        <v>124773</v>
      </c>
      <c r="N202" s="25">
        <v>49530280</v>
      </c>
      <c r="O202" s="26">
        <v>93</v>
      </c>
      <c r="P202" t="s">
        <v>135</v>
      </c>
    </row>
    <row r="203" spans="1:16" ht="15" customHeight="1" x14ac:dyDescent="0.3">
      <c r="A203" t="s">
        <v>1306</v>
      </c>
      <c r="B203" t="s">
        <v>779</v>
      </c>
      <c r="C203" t="s">
        <v>88</v>
      </c>
      <c r="D203" t="s">
        <v>117</v>
      </c>
      <c r="E203" t="s">
        <v>905</v>
      </c>
      <c r="F203">
        <v>7.9</v>
      </c>
      <c r="G203">
        <v>72</v>
      </c>
      <c r="H203" t="s">
        <v>1307</v>
      </c>
      <c r="I203" t="s">
        <v>1158</v>
      </c>
      <c r="J203" t="s">
        <v>1308</v>
      </c>
      <c r="K203" t="s">
        <v>1309</v>
      </c>
      <c r="L203" t="s">
        <v>1310</v>
      </c>
      <c r="M203">
        <v>189400</v>
      </c>
      <c r="N203" s="25">
        <v>5875006</v>
      </c>
      <c r="O203" s="26">
        <v>118</v>
      </c>
      <c r="P203" t="s">
        <v>135</v>
      </c>
    </row>
    <row r="204" spans="1:16" ht="15" customHeight="1" x14ac:dyDescent="0.3">
      <c r="A204" t="s">
        <v>1311</v>
      </c>
      <c r="B204" t="s">
        <v>261</v>
      </c>
      <c r="C204" t="s">
        <v>69</v>
      </c>
      <c r="D204" t="s">
        <v>960</v>
      </c>
      <c r="E204" t="s">
        <v>208</v>
      </c>
      <c r="F204">
        <v>7.8</v>
      </c>
      <c r="G204">
        <v>72</v>
      </c>
      <c r="H204" t="s">
        <v>1312</v>
      </c>
      <c r="I204" t="s">
        <v>492</v>
      </c>
      <c r="J204" t="s">
        <v>1313</v>
      </c>
      <c r="K204" t="s">
        <v>1314</v>
      </c>
      <c r="L204" t="s">
        <v>1315</v>
      </c>
      <c r="M204">
        <v>234207</v>
      </c>
      <c r="N204" s="25">
        <v>119519402</v>
      </c>
      <c r="O204" s="26">
        <v>136</v>
      </c>
      <c r="P204" t="s">
        <v>204</v>
      </c>
    </row>
    <row r="205" spans="1:16" ht="15" customHeight="1" x14ac:dyDescent="0.3">
      <c r="A205" t="s">
        <v>1316</v>
      </c>
      <c r="B205" t="s">
        <v>1001</v>
      </c>
      <c r="C205" t="s">
        <v>88</v>
      </c>
      <c r="D205" t="s">
        <v>222</v>
      </c>
      <c r="E205" t="s">
        <v>1057</v>
      </c>
      <c r="F205">
        <v>7.8</v>
      </c>
      <c r="G205">
        <v>72</v>
      </c>
      <c r="H205" t="s">
        <v>1317</v>
      </c>
      <c r="I205" t="s">
        <v>1318</v>
      </c>
      <c r="J205" t="s">
        <v>1319</v>
      </c>
      <c r="K205" t="s">
        <v>1320</v>
      </c>
      <c r="L205" t="s">
        <v>1321</v>
      </c>
      <c r="M205">
        <v>179264</v>
      </c>
      <c r="N205" s="25">
        <v>161197785</v>
      </c>
      <c r="O205" s="26">
        <v>147</v>
      </c>
      <c r="P205" t="s">
        <v>204</v>
      </c>
    </row>
    <row r="206" spans="1:16" ht="15" customHeight="1" x14ac:dyDescent="0.3">
      <c r="A206" t="s">
        <v>1322</v>
      </c>
      <c r="B206" t="s">
        <v>547</v>
      </c>
      <c r="C206" t="s">
        <v>78</v>
      </c>
      <c r="D206" t="s">
        <v>100</v>
      </c>
      <c r="E206" t="s">
        <v>1323</v>
      </c>
      <c r="F206">
        <v>7.7</v>
      </c>
      <c r="G206">
        <v>72</v>
      </c>
      <c r="H206" t="s">
        <v>1324</v>
      </c>
      <c r="I206" t="s">
        <v>1325</v>
      </c>
      <c r="J206" t="s">
        <v>781</v>
      </c>
      <c r="K206" t="s">
        <v>1326</v>
      </c>
      <c r="L206" t="s">
        <v>1327</v>
      </c>
      <c r="M206">
        <v>404182</v>
      </c>
      <c r="N206" s="25">
        <v>35893537</v>
      </c>
      <c r="O206" s="26">
        <v>123</v>
      </c>
      <c r="P206" t="s">
        <v>204</v>
      </c>
    </row>
    <row r="207" spans="1:16" ht="15" customHeight="1" x14ac:dyDescent="0.3">
      <c r="A207" t="s">
        <v>1328</v>
      </c>
      <c r="B207" t="s">
        <v>98</v>
      </c>
      <c r="C207" t="s">
        <v>88</v>
      </c>
      <c r="D207" t="s">
        <v>496</v>
      </c>
      <c r="E207" t="s">
        <v>71</v>
      </c>
      <c r="F207">
        <v>8.1</v>
      </c>
      <c r="G207">
        <v>72</v>
      </c>
      <c r="H207" t="s">
        <v>242</v>
      </c>
      <c r="I207" t="s">
        <v>242</v>
      </c>
      <c r="J207" t="s">
        <v>1329</v>
      </c>
      <c r="K207" t="s">
        <v>1330</v>
      </c>
      <c r="L207" t="s">
        <v>1331</v>
      </c>
      <c r="M207">
        <v>720450</v>
      </c>
      <c r="N207" s="25">
        <v>148095302</v>
      </c>
      <c r="O207" s="26">
        <v>116</v>
      </c>
      <c r="P207" t="s">
        <v>71</v>
      </c>
    </row>
    <row r="208" spans="1:16" ht="15" customHeight="1" x14ac:dyDescent="0.3">
      <c r="A208" t="s">
        <v>1332</v>
      </c>
      <c r="B208" t="s">
        <v>107</v>
      </c>
      <c r="C208" t="s">
        <v>99</v>
      </c>
      <c r="D208" t="s">
        <v>70</v>
      </c>
      <c r="E208" t="s">
        <v>148</v>
      </c>
      <c r="F208">
        <v>7.7</v>
      </c>
      <c r="G208">
        <v>72</v>
      </c>
      <c r="H208" t="s">
        <v>1333</v>
      </c>
      <c r="I208" t="s">
        <v>1334</v>
      </c>
      <c r="J208" t="s">
        <v>1335</v>
      </c>
      <c r="K208" t="s">
        <v>963</v>
      </c>
      <c r="L208" t="s">
        <v>1336</v>
      </c>
      <c r="M208">
        <v>463188</v>
      </c>
      <c r="N208" s="25">
        <v>228778661</v>
      </c>
      <c r="O208" s="26">
        <v>132</v>
      </c>
      <c r="P208" t="s">
        <v>96</v>
      </c>
    </row>
    <row r="209" spans="1:16" ht="15" customHeight="1" x14ac:dyDescent="0.3">
      <c r="A209" t="s">
        <v>1337</v>
      </c>
      <c r="B209" t="s">
        <v>77</v>
      </c>
      <c r="C209" t="s">
        <v>78</v>
      </c>
      <c r="D209" t="s">
        <v>1291</v>
      </c>
      <c r="E209" t="s">
        <v>479</v>
      </c>
      <c r="F209">
        <v>8</v>
      </c>
      <c r="G209">
        <v>72</v>
      </c>
      <c r="H209" t="s">
        <v>1338</v>
      </c>
      <c r="I209" t="s">
        <v>1339</v>
      </c>
      <c r="J209" t="s">
        <v>1340</v>
      </c>
      <c r="K209" t="s">
        <v>1341</v>
      </c>
      <c r="L209" t="s">
        <v>1342</v>
      </c>
      <c r="M209">
        <v>50610</v>
      </c>
      <c r="N209" s="25">
        <v>238507</v>
      </c>
      <c r="O209" s="26">
        <v>88</v>
      </c>
      <c r="P209" t="s">
        <v>172</v>
      </c>
    </row>
    <row r="210" spans="1:16" ht="15" customHeight="1" x14ac:dyDescent="0.3">
      <c r="A210" t="s">
        <v>1343</v>
      </c>
      <c r="B210" t="s">
        <v>1344</v>
      </c>
      <c r="C210" t="s">
        <v>78</v>
      </c>
      <c r="D210" t="s">
        <v>524</v>
      </c>
      <c r="E210" t="s">
        <v>1057</v>
      </c>
      <c r="F210">
        <v>7.7</v>
      </c>
      <c r="G210">
        <v>72</v>
      </c>
      <c r="H210" t="s">
        <v>1345</v>
      </c>
      <c r="I210" t="s">
        <v>1346</v>
      </c>
      <c r="J210" t="s">
        <v>1347</v>
      </c>
      <c r="K210" t="s">
        <v>1348</v>
      </c>
      <c r="L210" t="s">
        <v>1349</v>
      </c>
      <c r="M210">
        <v>31222</v>
      </c>
      <c r="N210" s="25">
        <v>28350000</v>
      </c>
      <c r="O210" s="26">
        <v>120</v>
      </c>
      <c r="P210" t="s">
        <v>204</v>
      </c>
    </row>
    <row r="211" spans="1:16" ht="15" customHeight="1" x14ac:dyDescent="0.3">
      <c r="A211" t="s">
        <v>1350</v>
      </c>
      <c r="B211" t="s">
        <v>126</v>
      </c>
      <c r="C211" t="s">
        <v>78</v>
      </c>
      <c r="D211" t="s">
        <v>181</v>
      </c>
      <c r="E211" t="s">
        <v>1351</v>
      </c>
      <c r="F211">
        <v>7.6</v>
      </c>
      <c r="G211">
        <v>72</v>
      </c>
      <c r="H211" t="s">
        <v>1352</v>
      </c>
      <c r="I211" t="s">
        <v>1353</v>
      </c>
      <c r="J211" t="s">
        <v>1354</v>
      </c>
      <c r="K211" t="s">
        <v>1355</v>
      </c>
      <c r="L211" t="s">
        <v>1356</v>
      </c>
      <c r="M211">
        <v>500851</v>
      </c>
      <c r="N211" s="25">
        <v>251513985</v>
      </c>
      <c r="O211" s="26">
        <v>95</v>
      </c>
      <c r="P211" t="s">
        <v>572</v>
      </c>
    </row>
    <row r="212" spans="1:16" ht="15" customHeight="1" x14ac:dyDescent="0.3">
      <c r="A212" t="s">
        <v>1357</v>
      </c>
      <c r="B212" t="s">
        <v>532</v>
      </c>
      <c r="C212" t="s">
        <v>78</v>
      </c>
      <c r="D212" t="s">
        <v>952</v>
      </c>
      <c r="E212" t="s">
        <v>1358</v>
      </c>
      <c r="F212">
        <v>8</v>
      </c>
      <c r="G212">
        <v>72</v>
      </c>
      <c r="H212" t="s">
        <v>1359</v>
      </c>
      <c r="I212" t="s">
        <v>1359</v>
      </c>
      <c r="J212" t="s">
        <v>1360</v>
      </c>
      <c r="K212" t="s">
        <v>469</v>
      </c>
      <c r="L212" t="s">
        <v>1361</v>
      </c>
      <c r="M212">
        <v>240266</v>
      </c>
      <c r="N212" s="25">
        <v>184208848</v>
      </c>
      <c r="O212" s="26">
        <v>181</v>
      </c>
      <c r="P212" t="s">
        <v>124</v>
      </c>
    </row>
    <row r="213" spans="1:16" ht="15" customHeight="1" x14ac:dyDescent="0.3">
      <c r="A213" t="s">
        <v>1362</v>
      </c>
      <c r="B213" t="s">
        <v>145</v>
      </c>
      <c r="C213" t="s">
        <v>146</v>
      </c>
      <c r="D213" t="s">
        <v>1363</v>
      </c>
      <c r="E213" t="s">
        <v>1270</v>
      </c>
      <c r="F213">
        <v>7.8</v>
      </c>
      <c r="G213">
        <v>72</v>
      </c>
      <c r="H213" t="s">
        <v>1364</v>
      </c>
      <c r="I213" t="s">
        <v>1365</v>
      </c>
      <c r="J213" t="s">
        <v>1366</v>
      </c>
      <c r="K213" t="s">
        <v>1367</v>
      </c>
      <c r="L213" t="s">
        <v>1368</v>
      </c>
      <c r="M213">
        <v>148359</v>
      </c>
      <c r="N213" s="25">
        <v>5923044</v>
      </c>
      <c r="O213" s="26">
        <v>84</v>
      </c>
      <c r="P213" t="s">
        <v>96</v>
      </c>
    </row>
    <row r="214" spans="1:16" ht="15" customHeight="1" x14ac:dyDescent="0.3">
      <c r="A214" t="s">
        <v>1369</v>
      </c>
      <c r="B214" t="s">
        <v>68</v>
      </c>
      <c r="C214" t="s">
        <v>99</v>
      </c>
      <c r="D214" t="s">
        <v>1062</v>
      </c>
      <c r="E214" t="s">
        <v>713</v>
      </c>
      <c r="F214">
        <v>8.1999999999999993</v>
      </c>
      <c r="G214">
        <v>72</v>
      </c>
      <c r="H214" t="s">
        <v>1149</v>
      </c>
      <c r="I214" t="s">
        <v>926</v>
      </c>
      <c r="J214" t="s">
        <v>311</v>
      </c>
      <c r="K214" t="s">
        <v>762</v>
      </c>
      <c r="L214" t="s">
        <v>691</v>
      </c>
      <c r="M214">
        <v>848920</v>
      </c>
      <c r="N214" s="25">
        <v>170742341</v>
      </c>
      <c r="O214" s="26">
        <v>135</v>
      </c>
      <c r="P214" t="s">
        <v>204</v>
      </c>
    </row>
    <row r="215" spans="1:16" ht="15" customHeight="1" x14ac:dyDescent="0.3">
      <c r="A215" t="s">
        <v>1370</v>
      </c>
      <c r="B215" t="s">
        <v>1371</v>
      </c>
      <c r="C215" t="s">
        <v>1372</v>
      </c>
      <c r="D215" t="s">
        <v>1144</v>
      </c>
      <c r="E215" t="s">
        <v>1373</v>
      </c>
      <c r="F215">
        <v>8.1</v>
      </c>
      <c r="G215">
        <v>72</v>
      </c>
      <c r="H215" t="s">
        <v>1374</v>
      </c>
      <c r="I215" t="s">
        <v>1375</v>
      </c>
      <c r="J215" t="s">
        <v>1376</v>
      </c>
      <c r="K215" t="s">
        <v>1377</v>
      </c>
      <c r="L215" t="s">
        <v>1378</v>
      </c>
      <c r="M215">
        <v>31568</v>
      </c>
      <c r="N215" s="25">
        <v>3969893</v>
      </c>
      <c r="O215" s="26">
        <v>111</v>
      </c>
      <c r="P215" t="s">
        <v>71</v>
      </c>
    </row>
    <row r="216" spans="1:16" ht="15" customHeight="1" x14ac:dyDescent="0.3">
      <c r="A216" t="s">
        <v>1379</v>
      </c>
      <c r="B216" t="s">
        <v>389</v>
      </c>
      <c r="C216" t="s">
        <v>146</v>
      </c>
      <c r="D216" t="s">
        <v>271</v>
      </c>
      <c r="E216" t="s">
        <v>223</v>
      </c>
      <c r="F216">
        <v>7.7</v>
      </c>
      <c r="G216">
        <v>72</v>
      </c>
      <c r="H216" t="s">
        <v>1380</v>
      </c>
      <c r="I216" t="s">
        <v>578</v>
      </c>
      <c r="J216" t="s">
        <v>1381</v>
      </c>
      <c r="K216" t="s">
        <v>1382</v>
      </c>
      <c r="L216" t="s">
        <v>1383</v>
      </c>
      <c r="M216">
        <v>246840</v>
      </c>
      <c r="N216" s="25">
        <v>104454762</v>
      </c>
      <c r="O216" s="26">
        <v>117</v>
      </c>
      <c r="P216" t="s">
        <v>172</v>
      </c>
    </row>
    <row r="217" spans="1:16" ht="15" customHeight="1" x14ac:dyDescent="0.3">
      <c r="A217" t="s">
        <v>1384</v>
      </c>
      <c r="B217" t="s">
        <v>401</v>
      </c>
      <c r="C217" t="s">
        <v>88</v>
      </c>
      <c r="D217" t="s">
        <v>839</v>
      </c>
      <c r="E217" t="s">
        <v>129</v>
      </c>
      <c r="F217">
        <v>7.6</v>
      </c>
      <c r="G217">
        <v>72</v>
      </c>
      <c r="H217" t="s">
        <v>1385</v>
      </c>
      <c r="I217" t="s">
        <v>1386</v>
      </c>
      <c r="J217" t="s">
        <v>1387</v>
      </c>
      <c r="K217" t="s">
        <v>1020</v>
      </c>
      <c r="L217" t="s">
        <v>619</v>
      </c>
      <c r="M217">
        <v>315426</v>
      </c>
      <c r="N217" s="25">
        <v>35014192</v>
      </c>
      <c r="O217" s="26">
        <v>100</v>
      </c>
      <c r="P217" t="s">
        <v>135</v>
      </c>
    </row>
    <row r="218" spans="1:16" ht="15" customHeight="1" x14ac:dyDescent="0.3">
      <c r="A218" t="s">
        <v>1388</v>
      </c>
      <c r="B218" t="s">
        <v>434</v>
      </c>
      <c r="C218" t="s">
        <v>78</v>
      </c>
      <c r="D218" t="s">
        <v>360</v>
      </c>
      <c r="E218" t="s">
        <v>1241</v>
      </c>
      <c r="F218">
        <v>7.7</v>
      </c>
      <c r="G218">
        <v>72</v>
      </c>
      <c r="H218" t="s">
        <v>1389</v>
      </c>
      <c r="I218" t="s">
        <v>1390</v>
      </c>
      <c r="J218" t="s">
        <v>1391</v>
      </c>
      <c r="K218" t="s">
        <v>1392</v>
      </c>
      <c r="L218" t="s">
        <v>1393</v>
      </c>
      <c r="M218">
        <v>380195</v>
      </c>
      <c r="N218" s="25">
        <v>189422889</v>
      </c>
      <c r="O218" s="26">
        <v>101</v>
      </c>
      <c r="P218" t="s">
        <v>572</v>
      </c>
    </row>
    <row r="219" spans="1:16" ht="15" customHeight="1" x14ac:dyDescent="0.3">
      <c r="A219" t="s">
        <v>1394</v>
      </c>
      <c r="B219" t="s">
        <v>753</v>
      </c>
      <c r="C219" t="s">
        <v>99</v>
      </c>
      <c r="D219" t="s">
        <v>575</v>
      </c>
      <c r="E219" t="s">
        <v>1395</v>
      </c>
      <c r="F219">
        <v>8</v>
      </c>
      <c r="G219">
        <v>72</v>
      </c>
      <c r="H219" t="s">
        <v>1396</v>
      </c>
      <c r="I219" t="s">
        <v>1359</v>
      </c>
      <c r="J219" t="s">
        <v>291</v>
      </c>
      <c r="K219" t="s">
        <v>1397</v>
      </c>
      <c r="L219" t="s">
        <v>1398</v>
      </c>
      <c r="M219">
        <v>142110</v>
      </c>
      <c r="N219" s="25">
        <v>70405498</v>
      </c>
      <c r="O219" s="26">
        <v>189</v>
      </c>
      <c r="P219" t="s">
        <v>71</v>
      </c>
    </row>
    <row r="220" spans="1:16" ht="15" customHeight="1" x14ac:dyDescent="0.3">
      <c r="A220" t="s">
        <v>1399</v>
      </c>
      <c r="B220" t="s">
        <v>87</v>
      </c>
      <c r="C220" t="s">
        <v>88</v>
      </c>
      <c r="D220" t="s">
        <v>642</v>
      </c>
      <c r="E220" t="s">
        <v>191</v>
      </c>
      <c r="F220">
        <v>7.6</v>
      </c>
      <c r="G220">
        <v>72</v>
      </c>
      <c r="H220" t="s">
        <v>1212</v>
      </c>
      <c r="I220" t="s">
        <v>319</v>
      </c>
      <c r="J220" t="s">
        <v>311</v>
      </c>
      <c r="K220" t="s">
        <v>1400</v>
      </c>
      <c r="L220" t="s">
        <v>1401</v>
      </c>
      <c r="M220">
        <v>250590</v>
      </c>
      <c r="N220" s="25">
        <v>20300218</v>
      </c>
      <c r="O220" s="26">
        <v>114</v>
      </c>
      <c r="P220" t="s">
        <v>172</v>
      </c>
    </row>
    <row r="221" spans="1:16" ht="15" customHeight="1" x14ac:dyDescent="0.3">
      <c r="A221" t="s">
        <v>1402</v>
      </c>
      <c r="B221" t="s">
        <v>510</v>
      </c>
      <c r="C221" t="s">
        <v>99</v>
      </c>
      <c r="D221" t="s">
        <v>207</v>
      </c>
      <c r="E221" t="s">
        <v>247</v>
      </c>
      <c r="F221">
        <v>7.6</v>
      </c>
      <c r="G221">
        <v>72</v>
      </c>
      <c r="H221" t="s">
        <v>1403</v>
      </c>
      <c r="I221" t="s">
        <v>646</v>
      </c>
      <c r="J221" t="s">
        <v>1404</v>
      </c>
      <c r="K221" t="s">
        <v>1193</v>
      </c>
      <c r="L221" t="s">
        <v>762</v>
      </c>
      <c r="M221">
        <v>58371</v>
      </c>
      <c r="N221" s="25">
        <v>18340051</v>
      </c>
      <c r="O221" s="26">
        <v>134</v>
      </c>
      <c r="P221" t="s">
        <v>96</v>
      </c>
    </row>
    <row r="222" spans="1:16" ht="15" customHeight="1" x14ac:dyDescent="0.3">
      <c r="A222" t="s">
        <v>1405</v>
      </c>
      <c r="B222" t="s">
        <v>797</v>
      </c>
      <c r="C222" t="s">
        <v>146</v>
      </c>
      <c r="D222" t="s">
        <v>70</v>
      </c>
      <c r="E222" t="s">
        <v>254</v>
      </c>
      <c r="F222">
        <v>8.1999999999999993</v>
      </c>
      <c r="G222">
        <v>72</v>
      </c>
      <c r="H222" t="s">
        <v>149</v>
      </c>
      <c r="I222" t="s">
        <v>289</v>
      </c>
      <c r="J222" t="s">
        <v>1406</v>
      </c>
      <c r="K222" t="s">
        <v>1407</v>
      </c>
      <c r="L222" t="s">
        <v>1408</v>
      </c>
      <c r="M222">
        <v>793164</v>
      </c>
      <c r="N222" s="25">
        <v>83008852</v>
      </c>
      <c r="O222" s="26">
        <v>132</v>
      </c>
      <c r="P222" t="s">
        <v>96</v>
      </c>
    </row>
    <row r="223" spans="1:16" ht="15" customHeight="1" x14ac:dyDescent="0.3">
      <c r="A223" t="s">
        <v>1409</v>
      </c>
      <c r="B223" t="s">
        <v>547</v>
      </c>
      <c r="C223" t="s">
        <v>78</v>
      </c>
      <c r="D223" t="s">
        <v>155</v>
      </c>
      <c r="E223" t="s">
        <v>1410</v>
      </c>
      <c r="F223">
        <v>7.7</v>
      </c>
      <c r="G223">
        <v>72</v>
      </c>
      <c r="H223" t="s">
        <v>1411</v>
      </c>
      <c r="I223" t="s">
        <v>1412</v>
      </c>
      <c r="J223" t="s">
        <v>1413</v>
      </c>
      <c r="K223" t="s">
        <v>1414</v>
      </c>
      <c r="L223" t="s">
        <v>1415</v>
      </c>
      <c r="M223">
        <v>32798</v>
      </c>
      <c r="N223" s="25">
        <v>765127</v>
      </c>
      <c r="O223" s="26">
        <v>103</v>
      </c>
      <c r="P223" t="s">
        <v>572</v>
      </c>
    </row>
    <row r="224" spans="1:16" ht="15" customHeight="1" x14ac:dyDescent="0.3">
      <c r="A224" t="s">
        <v>1416</v>
      </c>
      <c r="B224" t="s">
        <v>818</v>
      </c>
      <c r="C224" t="s">
        <v>146</v>
      </c>
      <c r="D224" t="s">
        <v>100</v>
      </c>
      <c r="E224" t="s">
        <v>1417</v>
      </c>
      <c r="F224">
        <v>7.9</v>
      </c>
      <c r="G224">
        <v>72</v>
      </c>
      <c r="H224" t="s">
        <v>1418</v>
      </c>
      <c r="I224" t="s">
        <v>1419</v>
      </c>
      <c r="J224" t="s">
        <v>432</v>
      </c>
      <c r="K224" t="s">
        <v>1420</v>
      </c>
      <c r="L224" t="s">
        <v>1421</v>
      </c>
      <c r="M224">
        <v>28223</v>
      </c>
      <c r="N224" s="25">
        <v>37823676</v>
      </c>
      <c r="O224" s="26">
        <v>123</v>
      </c>
      <c r="P224" t="s">
        <v>71</v>
      </c>
    </row>
    <row r="225" spans="1:16" ht="15" customHeight="1" x14ac:dyDescent="0.3">
      <c r="A225" t="s">
        <v>1422</v>
      </c>
      <c r="B225" t="s">
        <v>164</v>
      </c>
      <c r="C225" t="s">
        <v>78</v>
      </c>
      <c r="D225" t="s">
        <v>360</v>
      </c>
      <c r="E225" t="s">
        <v>1423</v>
      </c>
      <c r="F225">
        <v>8</v>
      </c>
      <c r="G225">
        <v>72</v>
      </c>
      <c r="H225" t="s">
        <v>1274</v>
      </c>
      <c r="I225" t="s">
        <v>1272</v>
      </c>
      <c r="J225" t="s">
        <v>1424</v>
      </c>
      <c r="K225" t="s">
        <v>1425</v>
      </c>
      <c r="L225" t="s">
        <v>1426</v>
      </c>
      <c r="M225">
        <v>577991</v>
      </c>
      <c r="N225" s="25">
        <v>70906973</v>
      </c>
      <c r="O225" s="26">
        <v>101</v>
      </c>
      <c r="P225" t="s">
        <v>135</v>
      </c>
    </row>
    <row r="226" spans="1:16" ht="15" customHeight="1" x14ac:dyDescent="0.3">
      <c r="A226" t="s">
        <v>1427</v>
      </c>
      <c r="B226" t="s">
        <v>116</v>
      </c>
      <c r="C226" t="s">
        <v>88</v>
      </c>
      <c r="D226" t="s">
        <v>786</v>
      </c>
      <c r="E226" t="s">
        <v>1428</v>
      </c>
      <c r="F226">
        <v>8.1</v>
      </c>
      <c r="G226">
        <v>73</v>
      </c>
      <c r="H226" t="s">
        <v>1429</v>
      </c>
      <c r="I226" t="s">
        <v>1430</v>
      </c>
      <c r="J226" t="s">
        <v>1431</v>
      </c>
      <c r="K226" t="s">
        <v>1432</v>
      </c>
      <c r="L226" t="s">
        <v>1433</v>
      </c>
      <c r="M226">
        <v>50862</v>
      </c>
      <c r="N226" s="25">
        <v>348660</v>
      </c>
      <c r="O226" s="26">
        <v>127</v>
      </c>
      <c r="P226" t="s">
        <v>135</v>
      </c>
    </row>
    <row r="227" spans="1:16" ht="15" customHeight="1" x14ac:dyDescent="0.3">
      <c r="A227" t="s">
        <v>1434</v>
      </c>
      <c r="B227" t="s">
        <v>87</v>
      </c>
      <c r="C227" t="s">
        <v>88</v>
      </c>
      <c r="D227" t="s">
        <v>1435</v>
      </c>
      <c r="E227" t="s">
        <v>1436</v>
      </c>
      <c r="F227">
        <v>8.1</v>
      </c>
      <c r="G227">
        <v>73</v>
      </c>
      <c r="H227" t="s">
        <v>72</v>
      </c>
      <c r="I227" t="s">
        <v>1437</v>
      </c>
      <c r="J227" t="s">
        <v>1438</v>
      </c>
      <c r="K227" t="s">
        <v>934</v>
      </c>
      <c r="L227" t="s">
        <v>1439</v>
      </c>
      <c r="M227">
        <v>572921</v>
      </c>
      <c r="N227" s="25">
        <v>18354356</v>
      </c>
      <c r="O227" s="26">
        <v>148</v>
      </c>
      <c r="P227" t="s">
        <v>124</v>
      </c>
    </row>
    <row r="228" spans="1:16" ht="15" customHeight="1" x14ac:dyDescent="0.3">
      <c r="A228" t="s">
        <v>1440</v>
      </c>
      <c r="B228" t="s">
        <v>465</v>
      </c>
      <c r="C228" t="s">
        <v>146</v>
      </c>
      <c r="D228" t="s">
        <v>517</v>
      </c>
      <c r="E228" t="s">
        <v>166</v>
      </c>
      <c r="F228">
        <v>8.1999999999999993</v>
      </c>
      <c r="G228">
        <v>73</v>
      </c>
      <c r="H228" t="s">
        <v>701</v>
      </c>
      <c r="I228" t="s">
        <v>225</v>
      </c>
      <c r="J228" t="s">
        <v>1441</v>
      </c>
      <c r="K228" t="s">
        <v>677</v>
      </c>
      <c r="L228" t="s">
        <v>1442</v>
      </c>
      <c r="M228">
        <v>466276</v>
      </c>
      <c r="N228" s="25">
        <v>42438300</v>
      </c>
      <c r="O228" s="26">
        <v>178</v>
      </c>
      <c r="P228" t="s">
        <v>172</v>
      </c>
    </row>
    <row r="229" spans="1:16" ht="15" customHeight="1" x14ac:dyDescent="0.3">
      <c r="A229" t="s">
        <v>1443</v>
      </c>
      <c r="B229" t="s">
        <v>77</v>
      </c>
      <c r="C229" t="s">
        <v>88</v>
      </c>
      <c r="D229" t="s">
        <v>1269</v>
      </c>
      <c r="E229" t="s">
        <v>71</v>
      </c>
      <c r="F229">
        <v>7.6</v>
      </c>
      <c r="G229">
        <v>73</v>
      </c>
      <c r="H229" t="s">
        <v>1444</v>
      </c>
      <c r="I229" t="s">
        <v>1445</v>
      </c>
      <c r="J229" t="s">
        <v>1386</v>
      </c>
      <c r="K229" t="s">
        <v>1446</v>
      </c>
      <c r="L229" t="s">
        <v>1447</v>
      </c>
      <c r="M229">
        <v>65939</v>
      </c>
      <c r="N229" s="25">
        <v>697181</v>
      </c>
      <c r="O229" s="26">
        <v>105</v>
      </c>
      <c r="P229" t="s">
        <v>71</v>
      </c>
    </row>
    <row r="230" spans="1:16" ht="15" customHeight="1" x14ac:dyDescent="0.3">
      <c r="A230" t="s">
        <v>1448</v>
      </c>
      <c r="B230" t="s">
        <v>77</v>
      </c>
      <c r="C230" t="s">
        <v>146</v>
      </c>
      <c r="D230" t="s">
        <v>738</v>
      </c>
      <c r="E230" t="s">
        <v>208</v>
      </c>
      <c r="F230">
        <v>7.7</v>
      </c>
      <c r="G230">
        <v>73</v>
      </c>
      <c r="H230" t="s">
        <v>167</v>
      </c>
      <c r="I230" t="s">
        <v>1449</v>
      </c>
      <c r="J230" t="s">
        <v>1450</v>
      </c>
      <c r="K230" t="s">
        <v>1451</v>
      </c>
      <c r="L230" t="s">
        <v>1452</v>
      </c>
      <c r="M230">
        <v>138356</v>
      </c>
      <c r="N230" s="25">
        <v>75331600</v>
      </c>
      <c r="O230" s="26">
        <v>152</v>
      </c>
      <c r="P230" t="s">
        <v>204</v>
      </c>
    </row>
    <row r="231" spans="1:16" ht="15" customHeight="1" x14ac:dyDescent="0.3">
      <c r="A231" t="s">
        <v>1453</v>
      </c>
      <c r="B231" t="s">
        <v>294</v>
      </c>
      <c r="C231" t="s">
        <v>146</v>
      </c>
      <c r="D231" t="s">
        <v>1291</v>
      </c>
      <c r="E231" t="s">
        <v>1454</v>
      </c>
      <c r="F231">
        <v>7.6</v>
      </c>
      <c r="G231">
        <v>73</v>
      </c>
      <c r="H231" t="s">
        <v>1455</v>
      </c>
      <c r="I231" t="s">
        <v>1456</v>
      </c>
      <c r="J231" t="s">
        <v>617</v>
      </c>
      <c r="K231" t="s">
        <v>104</v>
      </c>
      <c r="L231" t="s">
        <v>1457</v>
      </c>
      <c r="M231">
        <v>520041</v>
      </c>
      <c r="N231" s="25">
        <v>75590286</v>
      </c>
      <c r="O231" s="26">
        <v>88</v>
      </c>
      <c r="P231" t="s">
        <v>124</v>
      </c>
    </row>
    <row r="232" spans="1:16" ht="15" customHeight="1" x14ac:dyDescent="0.3">
      <c r="A232" t="s">
        <v>1458</v>
      </c>
      <c r="B232" t="s">
        <v>510</v>
      </c>
      <c r="C232" t="s">
        <v>88</v>
      </c>
      <c r="D232" t="s">
        <v>147</v>
      </c>
      <c r="E232" t="s">
        <v>191</v>
      </c>
      <c r="F232">
        <v>7.7</v>
      </c>
      <c r="G232">
        <v>73</v>
      </c>
      <c r="H232" t="s">
        <v>1459</v>
      </c>
      <c r="I232" t="s">
        <v>1460</v>
      </c>
      <c r="J232" t="s">
        <v>1126</v>
      </c>
      <c r="K232" t="s">
        <v>1461</v>
      </c>
      <c r="L232" t="s">
        <v>1462</v>
      </c>
      <c r="M232">
        <v>205444</v>
      </c>
      <c r="N232" s="25">
        <v>33800859</v>
      </c>
      <c r="O232" s="26">
        <v>107</v>
      </c>
      <c r="P232" t="s">
        <v>172</v>
      </c>
    </row>
    <row r="233" spans="1:16" ht="15" customHeight="1" x14ac:dyDescent="0.3">
      <c r="A233" t="s">
        <v>1463</v>
      </c>
      <c r="B233" t="s">
        <v>180</v>
      </c>
      <c r="C233" t="s">
        <v>78</v>
      </c>
      <c r="D233" t="s">
        <v>410</v>
      </c>
      <c r="E233" t="s">
        <v>263</v>
      </c>
      <c r="F233">
        <v>7.8</v>
      </c>
      <c r="G233">
        <v>73</v>
      </c>
      <c r="H233" t="s">
        <v>701</v>
      </c>
      <c r="I233" t="s">
        <v>225</v>
      </c>
      <c r="J233" t="s">
        <v>1464</v>
      </c>
      <c r="K233" t="s">
        <v>1465</v>
      </c>
      <c r="L233" t="s">
        <v>1466</v>
      </c>
      <c r="M233">
        <v>88511</v>
      </c>
      <c r="N233" s="25">
        <v>2500000</v>
      </c>
      <c r="O233" s="26">
        <v>109</v>
      </c>
      <c r="P233" t="s">
        <v>135</v>
      </c>
    </row>
    <row r="234" spans="1:16" ht="15" customHeight="1" x14ac:dyDescent="0.3">
      <c r="A234" t="s">
        <v>1467</v>
      </c>
      <c r="B234" t="s">
        <v>198</v>
      </c>
      <c r="C234" t="s">
        <v>99</v>
      </c>
      <c r="D234" t="s">
        <v>681</v>
      </c>
      <c r="E234" t="s">
        <v>1468</v>
      </c>
      <c r="F234">
        <v>7.8</v>
      </c>
      <c r="G234">
        <v>73</v>
      </c>
      <c r="H234" t="s">
        <v>420</v>
      </c>
      <c r="I234" t="s">
        <v>578</v>
      </c>
      <c r="J234" t="s">
        <v>974</v>
      </c>
      <c r="K234" t="s">
        <v>1469</v>
      </c>
      <c r="L234" t="s">
        <v>1470</v>
      </c>
      <c r="M234">
        <v>524235</v>
      </c>
      <c r="N234" s="25">
        <v>233632142</v>
      </c>
      <c r="O234" s="26">
        <v>143</v>
      </c>
      <c r="P234" t="s">
        <v>124</v>
      </c>
    </row>
    <row r="235" spans="1:16" ht="15" customHeight="1" x14ac:dyDescent="0.3">
      <c r="A235" t="s">
        <v>1471</v>
      </c>
      <c r="B235" t="s">
        <v>294</v>
      </c>
      <c r="C235" t="s">
        <v>99</v>
      </c>
      <c r="D235" t="s">
        <v>839</v>
      </c>
      <c r="E235" t="s">
        <v>135</v>
      </c>
      <c r="F235">
        <v>7.7</v>
      </c>
      <c r="G235">
        <v>73</v>
      </c>
      <c r="H235" t="s">
        <v>491</v>
      </c>
      <c r="I235" t="s">
        <v>1472</v>
      </c>
      <c r="J235" t="s">
        <v>1473</v>
      </c>
      <c r="K235" t="s">
        <v>1474</v>
      </c>
      <c r="L235" t="s">
        <v>1475</v>
      </c>
      <c r="M235">
        <v>717559</v>
      </c>
      <c r="N235" s="25">
        <v>277322503</v>
      </c>
      <c r="O235" s="26">
        <v>100</v>
      </c>
      <c r="P235" t="s">
        <v>135</v>
      </c>
    </row>
    <row r="236" spans="1:16" ht="15" customHeight="1" x14ac:dyDescent="0.3">
      <c r="A236" t="s">
        <v>1476</v>
      </c>
      <c r="B236" t="s">
        <v>574</v>
      </c>
      <c r="C236" t="s">
        <v>146</v>
      </c>
      <c r="D236" t="s">
        <v>960</v>
      </c>
      <c r="E236" t="s">
        <v>1477</v>
      </c>
      <c r="F236">
        <v>8.6999999999999993</v>
      </c>
      <c r="G236">
        <v>73</v>
      </c>
      <c r="H236" t="s">
        <v>1478</v>
      </c>
      <c r="I236" t="s">
        <v>1479</v>
      </c>
      <c r="J236" t="s">
        <v>1480</v>
      </c>
      <c r="K236" t="s">
        <v>1481</v>
      </c>
      <c r="L236" t="s">
        <v>1482</v>
      </c>
      <c r="M236">
        <v>1676426</v>
      </c>
      <c r="N236" s="25">
        <v>171479930</v>
      </c>
      <c r="O236" s="26">
        <v>136</v>
      </c>
      <c r="P236" t="s">
        <v>96</v>
      </c>
    </row>
    <row r="237" spans="1:16" ht="15" customHeight="1" x14ac:dyDescent="0.3">
      <c r="A237" t="s">
        <v>1483</v>
      </c>
      <c r="B237" t="s">
        <v>574</v>
      </c>
      <c r="C237" t="s">
        <v>146</v>
      </c>
      <c r="D237" t="s">
        <v>1484</v>
      </c>
      <c r="E237" t="s">
        <v>1485</v>
      </c>
      <c r="F237">
        <v>7.7</v>
      </c>
      <c r="G237">
        <v>73</v>
      </c>
      <c r="H237" t="s">
        <v>1486</v>
      </c>
      <c r="I237" t="s">
        <v>1486</v>
      </c>
      <c r="J237" t="s">
        <v>1487</v>
      </c>
      <c r="K237" t="s">
        <v>1488</v>
      </c>
      <c r="L237" t="s">
        <v>1489</v>
      </c>
      <c r="M237">
        <v>192112</v>
      </c>
      <c r="N237" s="25">
        <v>52037603</v>
      </c>
      <c r="O237" s="26">
        <v>81</v>
      </c>
      <c r="P237" t="s">
        <v>572</v>
      </c>
    </row>
    <row r="238" spans="1:16" ht="15" customHeight="1" x14ac:dyDescent="0.3">
      <c r="A238" t="s">
        <v>1490</v>
      </c>
      <c r="B238" t="s">
        <v>547</v>
      </c>
      <c r="C238" t="s">
        <v>99</v>
      </c>
      <c r="D238" t="s">
        <v>642</v>
      </c>
      <c r="E238" t="s">
        <v>1491</v>
      </c>
      <c r="F238">
        <v>8</v>
      </c>
      <c r="G238">
        <v>73</v>
      </c>
      <c r="H238" t="s">
        <v>1492</v>
      </c>
      <c r="I238" t="s">
        <v>1336</v>
      </c>
      <c r="J238" t="s">
        <v>684</v>
      </c>
      <c r="K238" t="s">
        <v>1493</v>
      </c>
      <c r="L238" t="s">
        <v>1494</v>
      </c>
      <c r="M238">
        <v>685201</v>
      </c>
      <c r="N238" s="25">
        <v>91125683</v>
      </c>
      <c r="O238" s="26">
        <v>114</v>
      </c>
      <c r="P238" t="s">
        <v>204</v>
      </c>
    </row>
    <row r="239" spans="1:16" ht="15" customHeight="1" x14ac:dyDescent="0.3">
      <c r="A239" t="s">
        <v>1495</v>
      </c>
      <c r="B239" t="s">
        <v>164</v>
      </c>
      <c r="C239" t="s">
        <v>78</v>
      </c>
      <c r="D239" t="s">
        <v>117</v>
      </c>
      <c r="E239" t="s">
        <v>71</v>
      </c>
      <c r="F239">
        <v>7.8</v>
      </c>
      <c r="G239">
        <v>73</v>
      </c>
      <c r="H239" t="s">
        <v>1496</v>
      </c>
      <c r="I239" t="s">
        <v>120</v>
      </c>
      <c r="J239" t="s">
        <v>702</v>
      </c>
      <c r="K239" t="s">
        <v>1497</v>
      </c>
      <c r="L239" t="s">
        <v>1498</v>
      </c>
      <c r="M239">
        <v>215034</v>
      </c>
      <c r="N239" s="25">
        <v>9170214</v>
      </c>
      <c r="O239" s="26">
        <v>118</v>
      </c>
      <c r="P239" t="s">
        <v>71</v>
      </c>
    </row>
    <row r="240" spans="1:16" ht="15" customHeight="1" x14ac:dyDescent="0.3">
      <c r="A240" t="s">
        <v>1499</v>
      </c>
      <c r="B240" t="s">
        <v>457</v>
      </c>
      <c r="C240" t="s">
        <v>78</v>
      </c>
      <c r="D240" t="s">
        <v>1500</v>
      </c>
      <c r="E240" t="s">
        <v>1501</v>
      </c>
      <c r="F240">
        <v>7.8</v>
      </c>
      <c r="G240">
        <v>73</v>
      </c>
      <c r="H240" t="s">
        <v>1502</v>
      </c>
      <c r="I240" t="s">
        <v>1503</v>
      </c>
      <c r="J240" t="s">
        <v>1504</v>
      </c>
      <c r="K240" t="s">
        <v>1505</v>
      </c>
      <c r="L240" t="s">
        <v>1506</v>
      </c>
      <c r="M240">
        <v>25229</v>
      </c>
      <c r="N240" s="25">
        <v>193817</v>
      </c>
      <c r="O240" s="26">
        <v>72</v>
      </c>
      <c r="P240" t="s">
        <v>572</v>
      </c>
    </row>
    <row r="241" spans="1:16" ht="15" customHeight="1" x14ac:dyDescent="0.3">
      <c r="A241" t="s">
        <v>1507</v>
      </c>
      <c r="B241" t="s">
        <v>389</v>
      </c>
      <c r="C241" t="s">
        <v>146</v>
      </c>
      <c r="D241" t="s">
        <v>79</v>
      </c>
      <c r="E241" t="s">
        <v>1508</v>
      </c>
      <c r="F241">
        <v>7.6</v>
      </c>
      <c r="G241">
        <v>73</v>
      </c>
      <c r="H241" t="s">
        <v>1509</v>
      </c>
      <c r="I241" t="s">
        <v>1510</v>
      </c>
      <c r="J241" t="s">
        <v>1511</v>
      </c>
      <c r="K241" t="s">
        <v>1512</v>
      </c>
      <c r="L241" t="s">
        <v>1513</v>
      </c>
      <c r="M241">
        <v>376853</v>
      </c>
      <c r="N241" s="25">
        <v>45064915</v>
      </c>
      <c r="O241" s="26">
        <v>113</v>
      </c>
      <c r="P241" t="s">
        <v>71</v>
      </c>
    </row>
    <row r="242" spans="1:16" ht="15" customHeight="1" x14ac:dyDescent="0.3">
      <c r="A242" t="s">
        <v>1514</v>
      </c>
      <c r="B242" t="s">
        <v>77</v>
      </c>
      <c r="C242" t="s">
        <v>146</v>
      </c>
      <c r="D242" t="s">
        <v>418</v>
      </c>
      <c r="E242" t="s">
        <v>995</v>
      </c>
      <c r="F242">
        <v>7.7</v>
      </c>
      <c r="G242">
        <v>73</v>
      </c>
      <c r="H242" t="s">
        <v>1515</v>
      </c>
      <c r="I242" t="s">
        <v>997</v>
      </c>
      <c r="J242" t="s">
        <v>283</v>
      </c>
      <c r="K242" t="s">
        <v>1516</v>
      </c>
      <c r="L242" t="s">
        <v>1517</v>
      </c>
      <c r="M242">
        <v>434841</v>
      </c>
      <c r="N242" s="25">
        <v>176241941</v>
      </c>
      <c r="O242" s="26">
        <v>108</v>
      </c>
      <c r="P242" t="s">
        <v>96</v>
      </c>
    </row>
    <row r="243" spans="1:16" ht="15" customHeight="1" x14ac:dyDescent="0.3">
      <c r="A243" t="s">
        <v>1518</v>
      </c>
      <c r="B243" t="s">
        <v>502</v>
      </c>
      <c r="C243" t="s">
        <v>78</v>
      </c>
      <c r="D243" t="s">
        <v>1519</v>
      </c>
      <c r="E243" t="s">
        <v>1057</v>
      </c>
      <c r="F243">
        <v>7.7</v>
      </c>
      <c r="G243">
        <v>73</v>
      </c>
      <c r="H243" t="s">
        <v>1063</v>
      </c>
      <c r="I243" t="s">
        <v>176</v>
      </c>
      <c r="J243" t="s">
        <v>1520</v>
      </c>
      <c r="K243" t="s">
        <v>1521</v>
      </c>
      <c r="L243" t="s">
        <v>1063</v>
      </c>
      <c r="M243">
        <v>85819</v>
      </c>
      <c r="N243" s="25">
        <v>48169908</v>
      </c>
      <c r="O243" s="26">
        <v>202</v>
      </c>
      <c r="P243" t="s">
        <v>204</v>
      </c>
    </row>
    <row r="244" spans="1:16" ht="15" customHeight="1" x14ac:dyDescent="0.3">
      <c r="A244" t="s">
        <v>1522</v>
      </c>
      <c r="B244" t="s">
        <v>401</v>
      </c>
      <c r="C244" t="s">
        <v>146</v>
      </c>
      <c r="D244" t="s">
        <v>360</v>
      </c>
      <c r="E244" t="s">
        <v>254</v>
      </c>
      <c r="F244">
        <v>7.6</v>
      </c>
      <c r="G244">
        <v>73</v>
      </c>
      <c r="H244" t="s">
        <v>1255</v>
      </c>
      <c r="I244" t="s">
        <v>1256</v>
      </c>
      <c r="J244" t="s">
        <v>1523</v>
      </c>
      <c r="K244" t="s">
        <v>1524</v>
      </c>
      <c r="L244" t="s">
        <v>1525</v>
      </c>
      <c r="M244">
        <v>190531</v>
      </c>
      <c r="N244" s="25">
        <v>4105123</v>
      </c>
      <c r="O244" s="26">
        <v>101</v>
      </c>
      <c r="P244" t="s">
        <v>96</v>
      </c>
    </row>
    <row r="245" spans="1:16" ht="15" customHeight="1" x14ac:dyDescent="0.3">
      <c r="A245" t="s">
        <v>1526</v>
      </c>
      <c r="B245" t="s">
        <v>1527</v>
      </c>
      <c r="C245" t="s">
        <v>146</v>
      </c>
      <c r="D245" t="s">
        <v>138</v>
      </c>
      <c r="E245" t="s">
        <v>1528</v>
      </c>
      <c r="F245">
        <v>7.7</v>
      </c>
      <c r="G245">
        <v>73</v>
      </c>
      <c r="H245" t="s">
        <v>1529</v>
      </c>
      <c r="I245" t="s">
        <v>1530</v>
      </c>
      <c r="J245" t="s">
        <v>989</v>
      </c>
      <c r="K245" t="s">
        <v>1531</v>
      </c>
      <c r="L245" t="s">
        <v>1532</v>
      </c>
      <c r="M245">
        <v>125993</v>
      </c>
      <c r="N245" s="25">
        <v>119500000</v>
      </c>
      <c r="O245" s="26">
        <v>93</v>
      </c>
      <c r="P245" t="s">
        <v>135</v>
      </c>
    </row>
    <row r="246" spans="1:16" ht="15" customHeight="1" x14ac:dyDescent="0.3">
      <c r="A246" t="s">
        <v>1533</v>
      </c>
      <c r="B246" t="s">
        <v>116</v>
      </c>
      <c r="C246" t="s">
        <v>69</v>
      </c>
      <c r="D246" t="s">
        <v>1534</v>
      </c>
      <c r="E246" t="s">
        <v>135</v>
      </c>
      <c r="F246">
        <v>7.7</v>
      </c>
      <c r="G246">
        <v>73</v>
      </c>
      <c r="H246" t="s">
        <v>1535</v>
      </c>
      <c r="I246" t="s">
        <v>1536</v>
      </c>
      <c r="J246" t="s">
        <v>1537</v>
      </c>
      <c r="K246" t="s">
        <v>1538</v>
      </c>
      <c r="L246" t="s">
        <v>1539</v>
      </c>
      <c r="M246">
        <v>37424</v>
      </c>
      <c r="N246" s="25">
        <v>4065116</v>
      </c>
      <c r="O246" s="26">
        <v>80</v>
      </c>
      <c r="P246" t="s">
        <v>135</v>
      </c>
    </row>
    <row r="247" spans="1:16" ht="15" customHeight="1" x14ac:dyDescent="0.3">
      <c r="A247" t="s">
        <v>1540</v>
      </c>
      <c r="B247" t="s">
        <v>1541</v>
      </c>
      <c r="C247" t="s">
        <v>1542</v>
      </c>
      <c r="D247" t="s">
        <v>190</v>
      </c>
      <c r="E247" t="s">
        <v>905</v>
      </c>
      <c r="F247">
        <v>8.1</v>
      </c>
      <c r="G247">
        <v>73</v>
      </c>
      <c r="H247" t="s">
        <v>1543</v>
      </c>
      <c r="I247" t="s">
        <v>1544</v>
      </c>
      <c r="J247" t="s">
        <v>1545</v>
      </c>
      <c r="K247" t="s">
        <v>1546</v>
      </c>
      <c r="L247" t="s">
        <v>1547</v>
      </c>
      <c r="M247">
        <v>107017</v>
      </c>
      <c r="N247" s="25">
        <v>9600000</v>
      </c>
      <c r="O247" s="26">
        <v>129</v>
      </c>
      <c r="P247" t="s">
        <v>135</v>
      </c>
    </row>
    <row r="248" spans="1:16" ht="15" customHeight="1" x14ac:dyDescent="0.3">
      <c r="A248" t="s">
        <v>1548</v>
      </c>
      <c r="B248" t="s">
        <v>547</v>
      </c>
      <c r="C248" t="s">
        <v>78</v>
      </c>
      <c r="D248" t="s">
        <v>1084</v>
      </c>
      <c r="E248" t="s">
        <v>1549</v>
      </c>
      <c r="F248">
        <v>7.8</v>
      </c>
      <c r="G248">
        <v>74</v>
      </c>
      <c r="H248" t="s">
        <v>1550</v>
      </c>
      <c r="I248" t="s">
        <v>1551</v>
      </c>
      <c r="J248" t="s">
        <v>1552</v>
      </c>
      <c r="K248" t="s">
        <v>1553</v>
      </c>
      <c r="L248" t="s">
        <v>1554</v>
      </c>
      <c r="M248">
        <v>410983</v>
      </c>
      <c r="N248" s="25">
        <v>222527828</v>
      </c>
      <c r="O248" s="26">
        <v>102</v>
      </c>
      <c r="P248" t="s">
        <v>572</v>
      </c>
    </row>
    <row r="249" spans="1:16" ht="15" customHeight="1" x14ac:dyDescent="0.3">
      <c r="A249" t="s">
        <v>1555</v>
      </c>
      <c r="B249" t="s">
        <v>547</v>
      </c>
      <c r="C249" t="s">
        <v>88</v>
      </c>
      <c r="D249" t="s">
        <v>854</v>
      </c>
      <c r="E249" t="s">
        <v>71</v>
      </c>
      <c r="F249">
        <v>8.1</v>
      </c>
      <c r="G249">
        <v>74</v>
      </c>
      <c r="H249" t="s">
        <v>1556</v>
      </c>
      <c r="I249" t="s">
        <v>1557</v>
      </c>
      <c r="J249" t="s">
        <v>1558</v>
      </c>
      <c r="K249" t="s">
        <v>1559</v>
      </c>
      <c r="L249" t="s">
        <v>1560</v>
      </c>
      <c r="M249">
        <v>50700</v>
      </c>
      <c r="N249" s="25">
        <v>3492754</v>
      </c>
      <c r="O249" s="26">
        <v>139</v>
      </c>
      <c r="P249" t="s">
        <v>71</v>
      </c>
    </row>
    <row r="250" spans="1:16" ht="15" customHeight="1" x14ac:dyDescent="0.3">
      <c r="A250" t="s">
        <v>1561</v>
      </c>
      <c r="B250" t="s">
        <v>818</v>
      </c>
      <c r="C250" t="s">
        <v>78</v>
      </c>
      <c r="D250" t="s">
        <v>181</v>
      </c>
      <c r="E250" t="s">
        <v>643</v>
      </c>
      <c r="F250">
        <v>7.6</v>
      </c>
      <c r="G250">
        <v>74</v>
      </c>
      <c r="H250" t="s">
        <v>1562</v>
      </c>
      <c r="I250" t="s">
        <v>1563</v>
      </c>
      <c r="J250" t="s">
        <v>1564</v>
      </c>
      <c r="K250" t="s">
        <v>1565</v>
      </c>
      <c r="L250" t="s">
        <v>1566</v>
      </c>
      <c r="M250">
        <v>32802</v>
      </c>
      <c r="N250" s="25">
        <v>76657000</v>
      </c>
      <c r="O250" s="26">
        <v>95</v>
      </c>
      <c r="P250" t="s">
        <v>124</v>
      </c>
    </row>
    <row r="251" spans="1:16" ht="15" customHeight="1" x14ac:dyDescent="0.3">
      <c r="A251" t="s">
        <v>1567</v>
      </c>
      <c r="B251" t="s">
        <v>126</v>
      </c>
      <c r="C251" t="s">
        <v>99</v>
      </c>
      <c r="D251" t="s">
        <v>1435</v>
      </c>
      <c r="E251" t="s">
        <v>148</v>
      </c>
      <c r="F251">
        <v>8.8000000000000007</v>
      </c>
      <c r="G251">
        <v>74</v>
      </c>
      <c r="H251" t="s">
        <v>847</v>
      </c>
      <c r="I251" t="s">
        <v>702</v>
      </c>
      <c r="J251" t="s">
        <v>1386</v>
      </c>
      <c r="K251" t="s">
        <v>1568</v>
      </c>
      <c r="L251" t="s">
        <v>356</v>
      </c>
      <c r="M251">
        <v>2067042</v>
      </c>
      <c r="N251" s="25">
        <v>292576195</v>
      </c>
      <c r="O251" s="26">
        <v>148</v>
      </c>
      <c r="P251" t="s">
        <v>96</v>
      </c>
    </row>
    <row r="252" spans="1:16" ht="15" customHeight="1" x14ac:dyDescent="0.3">
      <c r="A252" t="s">
        <v>1569</v>
      </c>
      <c r="B252" t="s">
        <v>547</v>
      </c>
      <c r="C252" t="s">
        <v>78</v>
      </c>
      <c r="D252" t="s">
        <v>287</v>
      </c>
      <c r="E252" t="s">
        <v>713</v>
      </c>
      <c r="F252">
        <v>8</v>
      </c>
      <c r="G252">
        <v>74</v>
      </c>
      <c r="H252" t="s">
        <v>1570</v>
      </c>
      <c r="I252" t="s">
        <v>1571</v>
      </c>
      <c r="J252" t="s">
        <v>1572</v>
      </c>
      <c r="K252" t="s">
        <v>1573</v>
      </c>
      <c r="L252" t="s">
        <v>1574</v>
      </c>
      <c r="M252">
        <v>77554</v>
      </c>
      <c r="N252" s="25">
        <v>2086345</v>
      </c>
      <c r="O252" s="26">
        <v>126</v>
      </c>
      <c r="P252" t="s">
        <v>204</v>
      </c>
    </row>
    <row r="253" spans="1:16" ht="15" customHeight="1" x14ac:dyDescent="0.3">
      <c r="A253" t="s">
        <v>1575</v>
      </c>
      <c r="B253" t="s">
        <v>532</v>
      </c>
      <c r="C253" t="s">
        <v>78</v>
      </c>
      <c r="D253" t="s">
        <v>484</v>
      </c>
      <c r="E253" t="s">
        <v>713</v>
      </c>
      <c r="F253">
        <v>7.8</v>
      </c>
      <c r="G253">
        <v>74</v>
      </c>
      <c r="H253" t="s">
        <v>1576</v>
      </c>
      <c r="I253" t="s">
        <v>225</v>
      </c>
      <c r="J253" t="s">
        <v>1211</v>
      </c>
      <c r="K253" t="s">
        <v>1577</v>
      </c>
      <c r="L253" t="s">
        <v>1578</v>
      </c>
      <c r="M253">
        <v>125276</v>
      </c>
      <c r="N253" s="25">
        <v>52096475</v>
      </c>
      <c r="O253" s="26">
        <v>121</v>
      </c>
      <c r="P253" t="s">
        <v>204</v>
      </c>
    </row>
    <row r="254" spans="1:16" ht="15" customHeight="1" x14ac:dyDescent="0.3">
      <c r="A254" t="s">
        <v>1579</v>
      </c>
      <c r="B254" t="s">
        <v>270</v>
      </c>
      <c r="C254" t="s">
        <v>88</v>
      </c>
      <c r="D254" t="s">
        <v>100</v>
      </c>
      <c r="E254" t="s">
        <v>1057</v>
      </c>
      <c r="F254">
        <v>7.7</v>
      </c>
      <c r="G254">
        <v>74</v>
      </c>
      <c r="H254" t="s">
        <v>1580</v>
      </c>
      <c r="I254" t="s">
        <v>790</v>
      </c>
      <c r="J254" t="s">
        <v>1581</v>
      </c>
      <c r="K254" t="s">
        <v>1582</v>
      </c>
      <c r="L254" t="s">
        <v>1451</v>
      </c>
      <c r="M254">
        <v>175355</v>
      </c>
      <c r="N254" s="25">
        <v>17605861</v>
      </c>
      <c r="O254" s="26">
        <v>123</v>
      </c>
      <c r="P254" t="s">
        <v>204</v>
      </c>
    </row>
    <row r="255" spans="1:16" ht="15" customHeight="1" x14ac:dyDescent="0.3">
      <c r="A255" t="s">
        <v>1583</v>
      </c>
      <c r="B255" t="s">
        <v>510</v>
      </c>
      <c r="C255" t="s">
        <v>99</v>
      </c>
      <c r="D255" t="s">
        <v>108</v>
      </c>
      <c r="E255" t="s">
        <v>540</v>
      </c>
      <c r="F255">
        <v>7.9</v>
      </c>
      <c r="G255">
        <v>74</v>
      </c>
      <c r="H255" t="s">
        <v>473</v>
      </c>
      <c r="I255" t="s">
        <v>1026</v>
      </c>
      <c r="J255" t="s">
        <v>1584</v>
      </c>
      <c r="K255" t="s">
        <v>1197</v>
      </c>
      <c r="L255" t="s">
        <v>704</v>
      </c>
      <c r="M255">
        <v>587775</v>
      </c>
      <c r="N255" s="25">
        <v>315058289</v>
      </c>
      <c r="O255" s="26">
        <v>130</v>
      </c>
      <c r="P255" t="s">
        <v>96</v>
      </c>
    </row>
    <row r="256" spans="1:16" ht="15" customHeight="1" x14ac:dyDescent="0.3">
      <c r="A256" t="s">
        <v>1585</v>
      </c>
      <c r="B256" t="s">
        <v>574</v>
      </c>
      <c r="C256" t="s">
        <v>88</v>
      </c>
      <c r="D256" t="s">
        <v>174</v>
      </c>
      <c r="E256" t="s">
        <v>199</v>
      </c>
      <c r="F256">
        <v>7.6</v>
      </c>
      <c r="G256">
        <v>74</v>
      </c>
      <c r="H256" t="s">
        <v>954</v>
      </c>
      <c r="I256" t="s">
        <v>176</v>
      </c>
      <c r="J256" t="s">
        <v>1586</v>
      </c>
      <c r="K256" t="s">
        <v>603</v>
      </c>
      <c r="L256" t="s">
        <v>1587</v>
      </c>
      <c r="M256">
        <v>91557</v>
      </c>
      <c r="N256" s="25">
        <v>50668906</v>
      </c>
      <c r="O256" s="26">
        <v>146</v>
      </c>
      <c r="P256" t="s">
        <v>204</v>
      </c>
    </row>
    <row r="257" spans="1:16" ht="15" customHeight="1" x14ac:dyDescent="0.3">
      <c r="A257" t="s">
        <v>1588</v>
      </c>
      <c r="B257" t="s">
        <v>68</v>
      </c>
      <c r="C257" t="s">
        <v>69</v>
      </c>
      <c r="D257" t="s">
        <v>360</v>
      </c>
      <c r="E257" t="s">
        <v>156</v>
      </c>
      <c r="F257">
        <v>7.6</v>
      </c>
      <c r="G257">
        <v>74</v>
      </c>
      <c r="H257" t="s">
        <v>1570</v>
      </c>
      <c r="I257" t="s">
        <v>519</v>
      </c>
      <c r="J257" t="s">
        <v>1512</v>
      </c>
      <c r="K257" t="s">
        <v>1589</v>
      </c>
      <c r="L257" t="s">
        <v>1590</v>
      </c>
      <c r="M257">
        <v>337651</v>
      </c>
      <c r="N257" s="25">
        <v>96522687</v>
      </c>
      <c r="O257" s="26">
        <v>101</v>
      </c>
      <c r="P257" t="s">
        <v>162</v>
      </c>
    </row>
    <row r="258" spans="1:16" ht="15" customHeight="1" x14ac:dyDescent="0.3">
      <c r="A258" t="s">
        <v>1591</v>
      </c>
      <c r="B258" t="s">
        <v>779</v>
      </c>
      <c r="C258" t="s">
        <v>99</v>
      </c>
      <c r="D258" t="s">
        <v>786</v>
      </c>
      <c r="E258" t="s">
        <v>1057</v>
      </c>
      <c r="F258">
        <v>7.8</v>
      </c>
      <c r="G258">
        <v>74</v>
      </c>
      <c r="H258" t="s">
        <v>1592</v>
      </c>
      <c r="I258" t="s">
        <v>1593</v>
      </c>
      <c r="J258" t="s">
        <v>515</v>
      </c>
      <c r="K258" t="s">
        <v>1594</v>
      </c>
      <c r="L258" t="s">
        <v>1359</v>
      </c>
      <c r="M258">
        <v>200876</v>
      </c>
      <c r="N258" s="25">
        <v>169607287</v>
      </c>
      <c r="O258" s="26">
        <v>127</v>
      </c>
      <c r="P258" t="s">
        <v>204</v>
      </c>
    </row>
    <row r="259" spans="1:16" ht="15" customHeight="1" x14ac:dyDescent="0.3">
      <c r="A259" t="s">
        <v>1595</v>
      </c>
      <c r="B259" t="s">
        <v>1596</v>
      </c>
      <c r="C259" t="s">
        <v>1372</v>
      </c>
      <c r="D259" t="s">
        <v>396</v>
      </c>
      <c r="E259" t="s">
        <v>1597</v>
      </c>
      <c r="F259">
        <v>7.7</v>
      </c>
      <c r="G259">
        <v>74</v>
      </c>
      <c r="H259" t="s">
        <v>1598</v>
      </c>
      <c r="I259" t="s">
        <v>1599</v>
      </c>
      <c r="J259" t="s">
        <v>460</v>
      </c>
      <c r="K259" t="s">
        <v>1600</v>
      </c>
      <c r="L259" t="s">
        <v>1601</v>
      </c>
      <c r="M259">
        <v>87719</v>
      </c>
      <c r="N259" s="25">
        <v>4905000</v>
      </c>
      <c r="O259" s="26">
        <v>128</v>
      </c>
      <c r="P259" t="s">
        <v>96</v>
      </c>
    </row>
    <row r="260" spans="1:16" ht="15" customHeight="1" x14ac:dyDescent="0.3">
      <c r="A260" t="s">
        <v>1602</v>
      </c>
      <c r="B260" t="s">
        <v>465</v>
      </c>
      <c r="C260" t="s">
        <v>146</v>
      </c>
      <c r="D260" t="s">
        <v>190</v>
      </c>
      <c r="E260" t="s">
        <v>840</v>
      </c>
      <c r="F260">
        <v>8</v>
      </c>
      <c r="G260">
        <v>74</v>
      </c>
      <c r="H260" t="s">
        <v>119</v>
      </c>
      <c r="I260" t="s">
        <v>289</v>
      </c>
      <c r="J260" t="s">
        <v>1603</v>
      </c>
      <c r="K260" t="s">
        <v>227</v>
      </c>
      <c r="L260" t="s">
        <v>1604</v>
      </c>
      <c r="M260">
        <v>578443</v>
      </c>
      <c r="N260" s="25">
        <v>57141459</v>
      </c>
      <c r="O260" s="26">
        <v>129</v>
      </c>
      <c r="P260" t="s">
        <v>705</v>
      </c>
    </row>
    <row r="261" spans="1:16" ht="15" customHeight="1" x14ac:dyDescent="0.3">
      <c r="A261" t="s">
        <v>1605</v>
      </c>
      <c r="B261" t="s">
        <v>532</v>
      </c>
      <c r="C261" t="s">
        <v>78</v>
      </c>
      <c r="D261" t="s">
        <v>1269</v>
      </c>
      <c r="E261" t="s">
        <v>668</v>
      </c>
      <c r="F261">
        <v>7.9</v>
      </c>
      <c r="G261">
        <v>74</v>
      </c>
      <c r="H261" t="s">
        <v>428</v>
      </c>
      <c r="I261" t="s">
        <v>120</v>
      </c>
      <c r="J261" t="s">
        <v>1073</v>
      </c>
      <c r="K261" t="s">
        <v>75</v>
      </c>
      <c r="L261" t="s">
        <v>1606</v>
      </c>
      <c r="M261">
        <v>447368</v>
      </c>
      <c r="N261" s="25">
        <v>56362352</v>
      </c>
      <c r="O261" s="26">
        <v>105</v>
      </c>
      <c r="P261" t="s">
        <v>71</v>
      </c>
    </row>
    <row r="262" spans="1:16" ht="15" customHeight="1" x14ac:dyDescent="0.3">
      <c r="A262" t="s">
        <v>1607</v>
      </c>
      <c r="B262" t="s">
        <v>198</v>
      </c>
      <c r="C262" t="s">
        <v>88</v>
      </c>
      <c r="D262" t="s">
        <v>315</v>
      </c>
      <c r="E262" t="s">
        <v>369</v>
      </c>
      <c r="F262">
        <v>7.7</v>
      </c>
      <c r="G262">
        <v>74</v>
      </c>
      <c r="H262" t="s">
        <v>1608</v>
      </c>
      <c r="I262" t="s">
        <v>1609</v>
      </c>
      <c r="J262" t="s">
        <v>1610</v>
      </c>
      <c r="K262" t="s">
        <v>1611</v>
      </c>
      <c r="L262" t="s">
        <v>1612</v>
      </c>
      <c r="M262">
        <v>126770</v>
      </c>
      <c r="N262" s="25">
        <v>21995263</v>
      </c>
      <c r="O262" s="26">
        <v>110</v>
      </c>
      <c r="P262" t="s">
        <v>71</v>
      </c>
    </row>
    <row r="263" spans="1:16" ht="15" customHeight="1" x14ac:dyDescent="0.3">
      <c r="A263" t="s">
        <v>1613</v>
      </c>
      <c r="B263" t="s">
        <v>1001</v>
      </c>
      <c r="C263" t="s">
        <v>69</v>
      </c>
      <c r="D263" t="s">
        <v>1269</v>
      </c>
      <c r="E263" t="s">
        <v>905</v>
      </c>
      <c r="F263">
        <v>7.7</v>
      </c>
      <c r="G263">
        <v>74</v>
      </c>
      <c r="H263" t="s">
        <v>1614</v>
      </c>
      <c r="I263" t="s">
        <v>1615</v>
      </c>
      <c r="J263" t="s">
        <v>1616</v>
      </c>
      <c r="K263" t="s">
        <v>1617</v>
      </c>
      <c r="L263" t="s">
        <v>1618</v>
      </c>
      <c r="M263">
        <v>123210</v>
      </c>
      <c r="N263" s="25">
        <v>6743776</v>
      </c>
      <c r="O263" s="26">
        <v>105</v>
      </c>
      <c r="P263" t="s">
        <v>135</v>
      </c>
    </row>
    <row r="264" spans="1:16" ht="15" customHeight="1" x14ac:dyDescent="0.3">
      <c r="A264" t="s">
        <v>1619</v>
      </c>
      <c r="B264" t="s">
        <v>261</v>
      </c>
      <c r="C264" t="s">
        <v>146</v>
      </c>
      <c r="D264" t="s">
        <v>279</v>
      </c>
      <c r="E264" t="s">
        <v>1620</v>
      </c>
      <c r="F264">
        <v>8</v>
      </c>
      <c r="G264">
        <v>74</v>
      </c>
      <c r="H264" t="s">
        <v>1621</v>
      </c>
      <c r="I264" t="s">
        <v>1003</v>
      </c>
      <c r="J264" t="s">
        <v>1622</v>
      </c>
      <c r="K264" t="s">
        <v>1623</v>
      </c>
      <c r="L264" t="s">
        <v>999</v>
      </c>
      <c r="M264">
        <v>738512</v>
      </c>
      <c r="N264" s="25">
        <v>74103820</v>
      </c>
      <c r="O264" s="26">
        <v>124</v>
      </c>
      <c r="P264" t="s">
        <v>172</v>
      </c>
    </row>
    <row r="265" spans="1:16" ht="15" customHeight="1" x14ac:dyDescent="0.3">
      <c r="A265" t="s">
        <v>1624</v>
      </c>
      <c r="B265" t="s">
        <v>261</v>
      </c>
      <c r="C265" t="s">
        <v>69</v>
      </c>
      <c r="D265" t="s">
        <v>478</v>
      </c>
      <c r="E265" t="s">
        <v>148</v>
      </c>
      <c r="F265">
        <v>7.8</v>
      </c>
      <c r="G265">
        <v>74</v>
      </c>
      <c r="H265" t="s">
        <v>1125</v>
      </c>
      <c r="I265" t="s">
        <v>1625</v>
      </c>
      <c r="J265" t="s">
        <v>1626</v>
      </c>
      <c r="K265" t="s">
        <v>1627</v>
      </c>
      <c r="L265" t="s">
        <v>783</v>
      </c>
      <c r="M265">
        <v>283310</v>
      </c>
      <c r="N265" s="25">
        <v>25514517</v>
      </c>
      <c r="O265" s="26">
        <v>119</v>
      </c>
      <c r="P265" t="s">
        <v>96</v>
      </c>
    </row>
    <row r="266" spans="1:16" ht="15" customHeight="1" x14ac:dyDescent="0.3">
      <c r="A266" t="s">
        <v>1628</v>
      </c>
      <c r="B266" t="s">
        <v>107</v>
      </c>
      <c r="C266" t="s">
        <v>99</v>
      </c>
      <c r="D266" t="s">
        <v>100</v>
      </c>
      <c r="E266" t="s">
        <v>247</v>
      </c>
      <c r="F266">
        <v>8.1</v>
      </c>
      <c r="G266">
        <v>74</v>
      </c>
      <c r="H266" t="s">
        <v>1149</v>
      </c>
      <c r="I266" t="s">
        <v>1029</v>
      </c>
      <c r="J266" t="s">
        <v>1026</v>
      </c>
      <c r="K266" t="s">
        <v>1629</v>
      </c>
      <c r="L266" t="s">
        <v>1630</v>
      </c>
      <c r="M266">
        <v>432811</v>
      </c>
      <c r="N266" s="25">
        <v>26947624</v>
      </c>
      <c r="O266" s="26">
        <v>123</v>
      </c>
      <c r="P266" t="s">
        <v>96</v>
      </c>
    </row>
    <row r="267" spans="1:16" ht="15" customHeight="1" x14ac:dyDescent="0.3">
      <c r="A267" t="s">
        <v>1631</v>
      </c>
      <c r="B267" t="s">
        <v>68</v>
      </c>
      <c r="C267" t="s">
        <v>146</v>
      </c>
      <c r="D267" t="s">
        <v>239</v>
      </c>
      <c r="E267" t="s">
        <v>308</v>
      </c>
      <c r="F267">
        <v>7.7</v>
      </c>
      <c r="G267">
        <v>74</v>
      </c>
      <c r="H267" t="s">
        <v>925</v>
      </c>
      <c r="I267" t="s">
        <v>317</v>
      </c>
      <c r="J267" t="s">
        <v>429</v>
      </c>
      <c r="K267" t="s">
        <v>1632</v>
      </c>
      <c r="L267" t="s">
        <v>1633</v>
      </c>
      <c r="M267">
        <v>364254</v>
      </c>
      <c r="N267" s="25">
        <v>108638745</v>
      </c>
      <c r="O267" s="26">
        <v>144</v>
      </c>
      <c r="P267" t="s">
        <v>71</v>
      </c>
    </row>
    <row r="268" spans="1:16" ht="15" customHeight="1" x14ac:dyDescent="0.3">
      <c r="A268" t="s">
        <v>1634</v>
      </c>
      <c r="B268" t="s">
        <v>68</v>
      </c>
      <c r="C268" t="s">
        <v>99</v>
      </c>
      <c r="D268" t="s">
        <v>496</v>
      </c>
      <c r="E268" t="s">
        <v>1620</v>
      </c>
      <c r="F268">
        <v>7.7</v>
      </c>
      <c r="G268">
        <v>74</v>
      </c>
      <c r="H268" t="s">
        <v>1635</v>
      </c>
      <c r="I268" t="s">
        <v>1112</v>
      </c>
      <c r="J268" t="s">
        <v>227</v>
      </c>
      <c r="K268" t="s">
        <v>916</v>
      </c>
      <c r="L268" t="s">
        <v>997</v>
      </c>
      <c r="M268">
        <v>516372</v>
      </c>
      <c r="N268" s="25">
        <v>183417150</v>
      </c>
      <c r="O268" s="26">
        <v>116</v>
      </c>
      <c r="P268" t="s">
        <v>172</v>
      </c>
    </row>
    <row r="269" spans="1:16" ht="15" customHeight="1" x14ac:dyDescent="0.3">
      <c r="A269" t="s">
        <v>1636</v>
      </c>
      <c r="B269" t="s">
        <v>547</v>
      </c>
      <c r="C269" t="s">
        <v>99</v>
      </c>
      <c r="D269" t="s">
        <v>435</v>
      </c>
      <c r="E269" t="s">
        <v>1637</v>
      </c>
      <c r="F269">
        <v>8.6</v>
      </c>
      <c r="G269">
        <v>74</v>
      </c>
      <c r="H269" t="s">
        <v>847</v>
      </c>
      <c r="I269" t="s">
        <v>1638</v>
      </c>
      <c r="J269" t="s">
        <v>1639</v>
      </c>
      <c r="K269" t="s">
        <v>1640</v>
      </c>
      <c r="L269" t="s">
        <v>1194</v>
      </c>
      <c r="M269">
        <v>1512360</v>
      </c>
      <c r="N269" s="25">
        <v>188020017</v>
      </c>
      <c r="O269" s="26">
        <v>169</v>
      </c>
      <c r="P269" t="s">
        <v>124</v>
      </c>
    </row>
    <row r="270" spans="1:16" ht="15" customHeight="1" x14ac:dyDescent="0.3">
      <c r="A270" t="s">
        <v>1641</v>
      </c>
      <c r="B270" t="s">
        <v>389</v>
      </c>
      <c r="C270" t="s">
        <v>99</v>
      </c>
      <c r="D270" t="s">
        <v>360</v>
      </c>
      <c r="E270" t="s">
        <v>90</v>
      </c>
      <c r="F270">
        <v>8</v>
      </c>
      <c r="G270">
        <v>75</v>
      </c>
      <c r="H270" t="s">
        <v>1642</v>
      </c>
      <c r="I270" t="s">
        <v>1643</v>
      </c>
      <c r="J270" t="s">
        <v>1644</v>
      </c>
      <c r="K270" t="s">
        <v>1645</v>
      </c>
      <c r="L270" t="s">
        <v>1646</v>
      </c>
      <c r="M270">
        <v>117857</v>
      </c>
      <c r="N270" s="25">
        <v>169659</v>
      </c>
      <c r="O270" s="26">
        <v>101</v>
      </c>
      <c r="P270" t="s">
        <v>96</v>
      </c>
    </row>
    <row r="271" spans="1:16" ht="15" customHeight="1" x14ac:dyDescent="0.3">
      <c r="A271" t="s">
        <v>1647</v>
      </c>
      <c r="B271" t="s">
        <v>329</v>
      </c>
      <c r="C271" t="s">
        <v>88</v>
      </c>
      <c r="D271" t="s">
        <v>147</v>
      </c>
      <c r="E271" t="s">
        <v>263</v>
      </c>
      <c r="F271">
        <v>7.8</v>
      </c>
      <c r="G271">
        <v>75</v>
      </c>
      <c r="H271" t="s">
        <v>657</v>
      </c>
      <c r="I271" t="s">
        <v>1648</v>
      </c>
      <c r="J271" t="s">
        <v>1649</v>
      </c>
      <c r="K271" t="s">
        <v>497</v>
      </c>
      <c r="L271" t="s">
        <v>498</v>
      </c>
      <c r="M271">
        <v>47834</v>
      </c>
      <c r="N271" s="25">
        <v>1436000</v>
      </c>
      <c r="O271" s="26">
        <v>107</v>
      </c>
      <c r="P271" t="s">
        <v>135</v>
      </c>
    </row>
    <row r="272" spans="1:16" ht="15" customHeight="1" x14ac:dyDescent="0.3">
      <c r="A272" t="s">
        <v>1650</v>
      </c>
      <c r="B272" t="s">
        <v>286</v>
      </c>
      <c r="C272" t="s">
        <v>99</v>
      </c>
      <c r="D272" t="s">
        <v>1651</v>
      </c>
      <c r="E272" t="s">
        <v>301</v>
      </c>
      <c r="F272">
        <v>7.8</v>
      </c>
      <c r="G272">
        <v>75</v>
      </c>
      <c r="H272" t="s">
        <v>1652</v>
      </c>
      <c r="I272" t="s">
        <v>702</v>
      </c>
      <c r="J272" t="s">
        <v>942</v>
      </c>
      <c r="K272" t="s">
        <v>1653</v>
      </c>
      <c r="L272" t="s">
        <v>755</v>
      </c>
      <c r="M272">
        <v>1046089</v>
      </c>
      <c r="N272" s="25">
        <v>659325379</v>
      </c>
      <c r="O272" s="26">
        <v>194</v>
      </c>
      <c r="P272" t="s">
        <v>71</v>
      </c>
    </row>
    <row r="273" spans="1:16" ht="15" customHeight="1" x14ac:dyDescent="0.3">
      <c r="A273" t="s">
        <v>1654</v>
      </c>
      <c r="B273" t="s">
        <v>753</v>
      </c>
      <c r="C273" t="s">
        <v>78</v>
      </c>
      <c r="D273" t="s">
        <v>1655</v>
      </c>
      <c r="E273" t="s">
        <v>1477</v>
      </c>
      <c r="F273">
        <v>8.5</v>
      </c>
      <c r="G273">
        <v>75</v>
      </c>
      <c r="H273" t="s">
        <v>1652</v>
      </c>
      <c r="I273" t="s">
        <v>150</v>
      </c>
      <c r="J273" t="s">
        <v>1656</v>
      </c>
      <c r="K273" t="s">
        <v>663</v>
      </c>
      <c r="L273" t="s">
        <v>1315</v>
      </c>
      <c r="M273">
        <v>995506</v>
      </c>
      <c r="N273" s="25">
        <v>204843350</v>
      </c>
      <c r="O273" s="26">
        <v>137</v>
      </c>
      <c r="P273" t="s">
        <v>96</v>
      </c>
    </row>
    <row r="274" spans="1:16" ht="15" customHeight="1" x14ac:dyDescent="0.3">
      <c r="A274" t="s">
        <v>1657</v>
      </c>
      <c r="B274" t="s">
        <v>1001</v>
      </c>
      <c r="C274" t="s">
        <v>88</v>
      </c>
      <c r="D274" t="s">
        <v>839</v>
      </c>
      <c r="E274" t="s">
        <v>308</v>
      </c>
      <c r="F274">
        <v>7.8</v>
      </c>
      <c r="G274">
        <v>75</v>
      </c>
      <c r="H274" t="s">
        <v>1658</v>
      </c>
      <c r="I274" t="s">
        <v>1659</v>
      </c>
      <c r="J274" t="s">
        <v>1660</v>
      </c>
      <c r="K274" t="s">
        <v>1661</v>
      </c>
      <c r="L274" t="s">
        <v>1662</v>
      </c>
      <c r="M274">
        <v>35539</v>
      </c>
      <c r="N274" s="25">
        <v>435266</v>
      </c>
      <c r="O274" s="26">
        <v>100</v>
      </c>
      <c r="P274" t="s">
        <v>71</v>
      </c>
    </row>
    <row r="275" spans="1:16" ht="15" customHeight="1" x14ac:dyDescent="0.3">
      <c r="A275" t="s">
        <v>1663</v>
      </c>
      <c r="B275" t="s">
        <v>126</v>
      </c>
      <c r="C275" t="s">
        <v>78</v>
      </c>
      <c r="D275" t="s">
        <v>1664</v>
      </c>
      <c r="E275" t="s">
        <v>1549</v>
      </c>
      <c r="F275">
        <v>8.1</v>
      </c>
      <c r="G275">
        <v>75</v>
      </c>
      <c r="H275" t="s">
        <v>1665</v>
      </c>
      <c r="I275" t="s">
        <v>1666</v>
      </c>
      <c r="J275" t="s">
        <v>1667</v>
      </c>
      <c r="K275" t="s">
        <v>274</v>
      </c>
      <c r="L275" t="s">
        <v>1668</v>
      </c>
      <c r="M275">
        <v>666773</v>
      </c>
      <c r="N275" s="25">
        <v>217581231</v>
      </c>
      <c r="O275" s="26">
        <v>98</v>
      </c>
      <c r="P275" t="s">
        <v>572</v>
      </c>
    </row>
    <row r="276" spans="1:16" ht="15" customHeight="1" x14ac:dyDescent="0.3">
      <c r="A276" t="s">
        <v>1669</v>
      </c>
      <c r="B276" t="s">
        <v>107</v>
      </c>
      <c r="C276" t="s">
        <v>146</v>
      </c>
      <c r="D276" t="s">
        <v>165</v>
      </c>
      <c r="E276" t="s">
        <v>280</v>
      </c>
      <c r="F276">
        <v>8.1999999999999993</v>
      </c>
      <c r="G276">
        <v>75</v>
      </c>
      <c r="H276" t="s">
        <v>701</v>
      </c>
      <c r="I276" t="s">
        <v>702</v>
      </c>
      <c r="J276" t="s">
        <v>1670</v>
      </c>
      <c r="K276" t="s">
        <v>1671</v>
      </c>
      <c r="L276" t="s">
        <v>1638</v>
      </c>
      <c r="M276">
        <v>1187498</v>
      </c>
      <c r="N276" s="25">
        <v>116900694</v>
      </c>
      <c r="O276" s="26">
        <v>180</v>
      </c>
      <c r="P276" t="s">
        <v>204</v>
      </c>
    </row>
    <row r="277" spans="1:16" ht="15" customHeight="1" x14ac:dyDescent="0.3">
      <c r="A277" t="s">
        <v>1672</v>
      </c>
      <c r="B277" t="s">
        <v>779</v>
      </c>
      <c r="C277" t="s">
        <v>99</v>
      </c>
      <c r="D277" t="s">
        <v>222</v>
      </c>
      <c r="E277" t="s">
        <v>148</v>
      </c>
      <c r="F277">
        <v>7.8</v>
      </c>
      <c r="G277">
        <v>75</v>
      </c>
      <c r="H277" t="s">
        <v>1024</v>
      </c>
      <c r="I277" t="s">
        <v>1025</v>
      </c>
      <c r="J277" t="s">
        <v>512</v>
      </c>
      <c r="K277" t="s">
        <v>398</v>
      </c>
      <c r="L277" t="s">
        <v>476</v>
      </c>
      <c r="M277">
        <v>663649</v>
      </c>
      <c r="N277" s="25">
        <v>408084349</v>
      </c>
      <c r="O277" s="26">
        <v>147</v>
      </c>
      <c r="P277" t="s">
        <v>96</v>
      </c>
    </row>
    <row r="278" spans="1:16" ht="15" customHeight="1" x14ac:dyDescent="0.3">
      <c r="A278" t="s">
        <v>1673</v>
      </c>
      <c r="B278" t="s">
        <v>206</v>
      </c>
      <c r="C278" t="s">
        <v>146</v>
      </c>
      <c r="D278" t="s">
        <v>287</v>
      </c>
      <c r="E278" t="s">
        <v>71</v>
      </c>
      <c r="F278">
        <v>8.4</v>
      </c>
      <c r="G278">
        <v>75</v>
      </c>
      <c r="H278" t="s">
        <v>1674</v>
      </c>
      <c r="I278" t="s">
        <v>1675</v>
      </c>
      <c r="J278" t="s">
        <v>1676</v>
      </c>
      <c r="K278" t="s">
        <v>1677</v>
      </c>
      <c r="L278" t="s">
        <v>1678</v>
      </c>
      <c r="M278">
        <v>62635</v>
      </c>
      <c r="N278" s="25">
        <v>1661096</v>
      </c>
      <c r="O278" s="26">
        <v>126</v>
      </c>
      <c r="P278" t="s">
        <v>71</v>
      </c>
    </row>
    <row r="279" spans="1:16" ht="15" customHeight="1" x14ac:dyDescent="0.3">
      <c r="A279" t="s">
        <v>1679</v>
      </c>
      <c r="B279" t="s">
        <v>389</v>
      </c>
      <c r="C279" t="s">
        <v>146</v>
      </c>
      <c r="D279" t="s">
        <v>667</v>
      </c>
      <c r="E279" t="s">
        <v>280</v>
      </c>
      <c r="F279">
        <v>8.1</v>
      </c>
      <c r="G279">
        <v>75</v>
      </c>
      <c r="H279" t="s">
        <v>607</v>
      </c>
      <c r="I279" t="s">
        <v>702</v>
      </c>
      <c r="J279" t="s">
        <v>578</v>
      </c>
      <c r="K279" t="s">
        <v>177</v>
      </c>
      <c r="L279" t="s">
        <v>1680</v>
      </c>
      <c r="M279">
        <v>832846</v>
      </c>
      <c r="N279" s="25">
        <v>164615351</v>
      </c>
      <c r="O279" s="26">
        <v>141</v>
      </c>
      <c r="P279" t="s">
        <v>204</v>
      </c>
    </row>
    <row r="280" spans="1:16" ht="15" customHeight="1" x14ac:dyDescent="0.3">
      <c r="A280" t="s">
        <v>1681</v>
      </c>
      <c r="B280" t="s">
        <v>532</v>
      </c>
      <c r="C280" t="s">
        <v>88</v>
      </c>
      <c r="D280" t="s">
        <v>147</v>
      </c>
      <c r="E280" t="s">
        <v>525</v>
      </c>
      <c r="F280">
        <v>7.8</v>
      </c>
      <c r="G280">
        <v>75</v>
      </c>
      <c r="H280" t="s">
        <v>130</v>
      </c>
      <c r="I280" t="s">
        <v>1682</v>
      </c>
      <c r="J280" t="s">
        <v>755</v>
      </c>
      <c r="K280" t="s">
        <v>1683</v>
      </c>
      <c r="L280" t="s">
        <v>1684</v>
      </c>
      <c r="M280">
        <v>184740</v>
      </c>
      <c r="N280" s="25">
        <v>61276872</v>
      </c>
      <c r="O280" s="26">
        <v>107</v>
      </c>
      <c r="P280" t="s">
        <v>71</v>
      </c>
    </row>
    <row r="281" spans="1:16" ht="15" customHeight="1" x14ac:dyDescent="0.3">
      <c r="A281" t="s">
        <v>1685</v>
      </c>
      <c r="B281" t="s">
        <v>329</v>
      </c>
      <c r="C281" t="s">
        <v>78</v>
      </c>
      <c r="D281" t="s">
        <v>1077</v>
      </c>
      <c r="E281" t="s">
        <v>1686</v>
      </c>
      <c r="F281">
        <v>8.1</v>
      </c>
      <c r="G281">
        <v>75</v>
      </c>
      <c r="H281" t="s">
        <v>130</v>
      </c>
      <c r="I281" t="s">
        <v>1687</v>
      </c>
      <c r="J281" t="s">
        <v>1688</v>
      </c>
      <c r="K281" t="s">
        <v>648</v>
      </c>
      <c r="L281" t="s">
        <v>1689</v>
      </c>
      <c r="M281">
        <v>363401</v>
      </c>
      <c r="N281" s="25">
        <v>52287414</v>
      </c>
      <c r="O281" s="26">
        <v>89</v>
      </c>
      <c r="P281" t="s">
        <v>124</v>
      </c>
    </row>
    <row r="282" spans="1:16" ht="15" customHeight="1" x14ac:dyDescent="0.3">
      <c r="A282" t="s">
        <v>1690</v>
      </c>
      <c r="B282" t="s">
        <v>77</v>
      </c>
      <c r="C282" t="s">
        <v>78</v>
      </c>
      <c r="D282" t="s">
        <v>287</v>
      </c>
      <c r="E282" t="s">
        <v>1436</v>
      </c>
      <c r="F282">
        <v>7.8</v>
      </c>
      <c r="G282">
        <v>75</v>
      </c>
      <c r="H282" t="s">
        <v>1691</v>
      </c>
      <c r="I282" t="s">
        <v>1692</v>
      </c>
      <c r="J282" t="s">
        <v>1693</v>
      </c>
      <c r="K282" t="s">
        <v>1694</v>
      </c>
      <c r="L282" t="s">
        <v>1695</v>
      </c>
      <c r="M282">
        <v>96703</v>
      </c>
      <c r="N282" s="25">
        <v>16756372</v>
      </c>
      <c r="O282" s="26">
        <v>126</v>
      </c>
      <c r="P282" t="s">
        <v>124</v>
      </c>
    </row>
    <row r="283" spans="1:16" ht="15" customHeight="1" x14ac:dyDescent="0.3">
      <c r="A283" t="s">
        <v>1696</v>
      </c>
      <c r="B283" t="s">
        <v>1697</v>
      </c>
      <c r="C283" t="s">
        <v>146</v>
      </c>
      <c r="D283" t="s">
        <v>1269</v>
      </c>
      <c r="E283" t="s">
        <v>1620</v>
      </c>
      <c r="F283">
        <v>8.1999999999999993</v>
      </c>
      <c r="G283">
        <v>75</v>
      </c>
      <c r="H283" t="s">
        <v>1698</v>
      </c>
      <c r="I283" t="s">
        <v>1699</v>
      </c>
      <c r="J283" t="s">
        <v>1700</v>
      </c>
      <c r="K283" t="s">
        <v>1701</v>
      </c>
      <c r="L283" t="s">
        <v>1702</v>
      </c>
      <c r="M283">
        <v>158335</v>
      </c>
      <c r="N283" s="25">
        <v>12562</v>
      </c>
      <c r="O283" s="26">
        <v>105</v>
      </c>
      <c r="P283" t="s">
        <v>172</v>
      </c>
    </row>
    <row r="284" spans="1:16" ht="15" customHeight="1" x14ac:dyDescent="0.3">
      <c r="A284" t="s">
        <v>1703</v>
      </c>
      <c r="B284" t="s">
        <v>641</v>
      </c>
      <c r="C284" t="s">
        <v>78</v>
      </c>
      <c r="D284" t="s">
        <v>1704</v>
      </c>
      <c r="E284" t="s">
        <v>1423</v>
      </c>
      <c r="F284">
        <v>7.7</v>
      </c>
      <c r="G284">
        <v>75</v>
      </c>
      <c r="H284" t="s">
        <v>1705</v>
      </c>
      <c r="I284" t="s">
        <v>1706</v>
      </c>
      <c r="J284" t="s">
        <v>1707</v>
      </c>
      <c r="K284" t="s">
        <v>751</v>
      </c>
      <c r="L284" t="s">
        <v>1708</v>
      </c>
      <c r="M284">
        <v>47102</v>
      </c>
      <c r="N284" s="25">
        <v>10631333</v>
      </c>
      <c r="O284" s="26">
        <v>82</v>
      </c>
      <c r="P284" t="s">
        <v>135</v>
      </c>
    </row>
    <row r="285" spans="1:16" ht="15" customHeight="1" x14ac:dyDescent="0.3">
      <c r="A285" t="s">
        <v>1709</v>
      </c>
      <c r="B285" t="s">
        <v>547</v>
      </c>
      <c r="C285" t="s">
        <v>99</v>
      </c>
      <c r="D285" t="s">
        <v>70</v>
      </c>
      <c r="E285" t="s">
        <v>148</v>
      </c>
      <c r="F285">
        <v>7.9</v>
      </c>
      <c r="G285">
        <v>75</v>
      </c>
      <c r="H285" t="s">
        <v>209</v>
      </c>
      <c r="I285" t="s">
        <v>1710</v>
      </c>
      <c r="J285" t="s">
        <v>439</v>
      </c>
      <c r="K285" t="s">
        <v>848</v>
      </c>
      <c r="L285" t="s">
        <v>790</v>
      </c>
      <c r="M285">
        <v>659763</v>
      </c>
      <c r="N285" s="25">
        <v>233921534</v>
      </c>
      <c r="O285" s="26">
        <v>132</v>
      </c>
      <c r="P285" t="s">
        <v>96</v>
      </c>
    </row>
    <row r="286" spans="1:16" ht="15" customHeight="1" x14ac:dyDescent="0.3">
      <c r="A286" t="s">
        <v>1711</v>
      </c>
      <c r="B286" t="s">
        <v>1712</v>
      </c>
      <c r="C286" t="s">
        <v>1542</v>
      </c>
      <c r="D286" t="s">
        <v>207</v>
      </c>
      <c r="E286" t="s">
        <v>1222</v>
      </c>
      <c r="F286">
        <v>8.1</v>
      </c>
      <c r="G286">
        <v>75</v>
      </c>
      <c r="H286" t="s">
        <v>1713</v>
      </c>
      <c r="I286" t="s">
        <v>1714</v>
      </c>
      <c r="J286" t="s">
        <v>1715</v>
      </c>
      <c r="K286" t="s">
        <v>1716</v>
      </c>
      <c r="L286" t="s">
        <v>1717</v>
      </c>
      <c r="M286">
        <v>50058</v>
      </c>
      <c r="N286" s="25">
        <v>4050000</v>
      </c>
      <c r="O286" s="26">
        <v>134</v>
      </c>
      <c r="P286" t="s">
        <v>71</v>
      </c>
    </row>
    <row r="287" spans="1:16" ht="15" customHeight="1" x14ac:dyDescent="0.3">
      <c r="A287" t="s">
        <v>1718</v>
      </c>
      <c r="B287" t="s">
        <v>1712</v>
      </c>
      <c r="C287" t="s">
        <v>724</v>
      </c>
      <c r="D287" t="s">
        <v>517</v>
      </c>
      <c r="E287" t="s">
        <v>606</v>
      </c>
      <c r="F287">
        <v>7.8</v>
      </c>
      <c r="G287">
        <v>75</v>
      </c>
      <c r="H287" t="s">
        <v>1719</v>
      </c>
      <c r="I287" t="s">
        <v>1720</v>
      </c>
      <c r="J287" t="s">
        <v>1721</v>
      </c>
      <c r="K287" t="s">
        <v>1722</v>
      </c>
      <c r="L287" t="s">
        <v>1723</v>
      </c>
      <c r="M287">
        <v>52141</v>
      </c>
      <c r="N287" s="25">
        <v>39100000</v>
      </c>
      <c r="O287" s="26">
        <v>178</v>
      </c>
      <c r="P287" t="s">
        <v>96</v>
      </c>
    </row>
    <row r="288" spans="1:16" ht="15" customHeight="1" x14ac:dyDescent="0.3">
      <c r="A288" t="s">
        <v>1724</v>
      </c>
      <c r="B288" t="s">
        <v>1001</v>
      </c>
      <c r="C288" t="s">
        <v>146</v>
      </c>
      <c r="D288" t="s">
        <v>503</v>
      </c>
      <c r="E288" t="s">
        <v>559</v>
      </c>
      <c r="F288">
        <v>8</v>
      </c>
      <c r="G288">
        <v>76</v>
      </c>
      <c r="H288" t="s">
        <v>1163</v>
      </c>
      <c r="I288" t="s">
        <v>702</v>
      </c>
      <c r="J288" t="s">
        <v>1263</v>
      </c>
      <c r="K288" t="s">
        <v>1725</v>
      </c>
      <c r="L288" t="s">
        <v>337</v>
      </c>
      <c r="M288">
        <v>705589</v>
      </c>
      <c r="N288" s="25">
        <v>183637894</v>
      </c>
      <c r="O288" s="26">
        <v>156</v>
      </c>
      <c r="P288" t="s">
        <v>96</v>
      </c>
    </row>
    <row r="289" spans="1:16" ht="15" customHeight="1" x14ac:dyDescent="0.3">
      <c r="A289" t="s">
        <v>1726</v>
      </c>
      <c r="B289" t="s">
        <v>1268</v>
      </c>
      <c r="C289" t="s">
        <v>99</v>
      </c>
      <c r="D289" t="s">
        <v>667</v>
      </c>
      <c r="E289" t="s">
        <v>1057</v>
      </c>
      <c r="F289">
        <v>7.8</v>
      </c>
      <c r="G289">
        <v>76</v>
      </c>
      <c r="H289" t="s">
        <v>1727</v>
      </c>
      <c r="I289" t="s">
        <v>1728</v>
      </c>
      <c r="J289" t="s">
        <v>1729</v>
      </c>
      <c r="K289" t="s">
        <v>608</v>
      </c>
      <c r="L289" t="s">
        <v>1730</v>
      </c>
      <c r="M289">
        <v>51585</v>
      </c>
      <c r="N289" s="25">
        <v>34700291</v>
      </c>
      <c r="O289" s="26">
        <v>141</v>
      </c>
      <c r="P289" t="s">
        <v>204</v>
      </c>
    </row>
    <row r="290" spans="1:16" ht="15" customHeight="1" x14ac:dyDescent="0.3">
      <c r="A290" t="s">
        <v>1731</v>
      </c>
      <c r="B290" t="s">
        <v>547</v>
      </c>
      <c r="C290" t="s">
        <v>88</v>
      </c>
      <c r="D290" t="s">
        <v>1732</v>
      </c>
      <c r="E290" t="s">
        <v>1733</v>
      </c>
      <c r="F290">
        <v>7.7</v>
      </c>
      <c r="G290">
        <v>76</v>
      </c>
      <c r="H290" t="s">
        <v>1734</v>
      </c>
      <c r="I290" t="s">
        <v>473</v>
      </c>
      <c r="J290" t="s">
        <v>1734</v>
      </c>
      <c r="K290" t="s">
        <v>473</v>
      </c>
      <c r="L290" t="s">
        <v>1735</v>
      </c>
      <c r="M290">
        <v>157498</v>
      </c>
      <c r="N290" s="25">
        <v>3333000</v>
      </c>
      <c r="O290" s="26">
        <v>86</v>
      </c>
      <c r="P290" t="s">
        <v>135</v>
      </c>
    </row>
    <row r="291" spans="1:16" ht="15" customHeight="1" x14ac:dyDescent="0.3">
      <c r="A291" t="s">
        <v>1736</v>
      </c>
      <c r="B291" t="s">
        <v>417</v>
      </c>
      <c r="C291" t="s">
        <v>99</v>
      </c>
      <c r="D291" t="s">
        <v>181</v>
      </c>
      <c r="E291" t="s">
        <v>129</v>
      </c>
      <c r="F291">
        <v>7.6</v>
      </c>
      <c r="G291">
        <v>76</v>
      </c>
      <c r="H291" t="s">
        <v>130</v>
      </c>
      <c r="I291" t="s">
        <v>1737</v>
      </c>
      <c r="J291" t="s">
        <v>1738</v>
      </c>
      <c r="K291" t="s">
        <v>454</v>
      </c>
      <c r="L291" t="s">
        <v>1739</v>
      </c>
      <c r="M291">
        <v>195663</v>
      </c>
      <c r="N291" s="25">
        <v>92823600</v>
      </c>
      <c r="O291" s="26">
        <v>95</v>
      </c>
      <c r="P291" t="s">
        <v>135</v>
      </c>
    </row>
    <row r="292" spans="1:16" ht="15" customHeight="1" x14ac:dyDescent="0.3">
      <c r="A292" t="s">
        <v>1740</v>
      </c>
      <c r="B292" t="s">
        <v>87</v>
      </c>
      <c r="C292" t="s">
        <v>146</v>
      </c>
      <c r="D292" t="s">
        <v>1741</v>
      </c>
      <c r="E292" t="s">
        <v>280</v>
      </c>
      <c r="F292">
        <v>7.8</v>
      </c>
      <c r="G292">
        <v>76</v>
      </c>
      <c r="H292" t="s">
        <v>925</v>
      </c>
      <c r="I292" t="s">
        <v>176</v>
      </c>
      <c r="J292" t="s">
        <v>926</v>
      </c>
      <c r="K292" t="s">
        <v>1627</v>
      </c>
      <c r="L292" t="s">
        <v>646</v>
      </c>
      <c r="M292">
        <v>392449</v>
      </c>
      <c r="N292" s="25">
        <v>130164645</v>
      </c>
      <c r="O292" s="26">
        <v>157</v>
      </c>
      <c r="P292" t="s">
        <v>204</v>
      </c>
    </row>
    <row r="293" spans="1:16" ht="15" customHeight="1" x14ac:dyDescent="0.3">
      <c r="A293" t="s">
        <v>1742</v>
      </c>
      <c r="B293" t="s">
        <v>547</v>
      </c>
      <c r="C293" t="s">
        <v>99</v>
      </c>
      <c r="D293" t="s">
        <v>484</v>
      </c>
      <c r="E293" t="s">
        <v>540</v>
      </c>
      <c r="F293">
        <v>8</v>
      </c>
      <c r="G293">
        <v>76</v>
      </c>
      <c r="H293" t="s">
        <v>961</v>
      </c>
      <c r="I293" t="s">
        <v>962</v>
      </c>
      <c r="J293" t="s">
        <v>965</v>
      </c>
      <c r="K293" t="s">
        <v>1473</v>
      </c>
      <c r="L293" t="s">
        <v>963</v>
      </c>
      <c r="M293">
        <v>1043455</v>
      </c>
      <c r="N293" s="25">
        <v>333176600</v>
      </c>
      <c r="O293" s="26">
        <v>121</v>
      </c>
      <c r="P293" t="s">
        <v>96</v>
      </c>
    </row>
    <row r="294" spans="1:16" ht="15" customHeight="1" x14ac:dyDescent="0.3">
      <c r="A294" t="s">
        <v>1743</v>
      </c>
      <c r="B294" t="s">
        <v>294</v>
      </c>
      <c r="C294" t="s">
        <v>88</v>
      </c>
      <c r="D294" t="s">
        <v>738</v>
      </c>
      <c r="E294" t="s">
        <v>191</v>
      </c>
      <c r="F294">
        <v>7.8</v>
      </c>
      <c r="G294">
        <v>76</v>
      </c>
      <c r="H294" t="s">
        <v>1744</v>
      </c>
      <c r="I294" t="s">
        <v>1745</v>
      </c>
      <c r="J294" t="s">
        <v>1746</v>
      </c>
      <c r="K294" t="s">
        <v>1747</v>
      </c>
      <c r="L294" t="s">
        <v>1748</v>
      </c>
      <c r="M294">
        <v>208994</v>
      </c>
      <c r="N294" s="25">
        <v>10095170</v>
      </c>
      <c r="O294" s="26">
        <v>152</v>
      </c>
      <c r="P294" t="s">
        <v>172</v>
      </c>
    </row>
    <row r="295" spans="1:16" ht="15" customHeight="1" x14ac:dyDescent="0.3">
      <c r="A295" t="s">
        <v>1749</v>
      </c>
      <c r="B295" t="s">
        <v>77</v>
      </c>
      <c r="C295" t="s">
        <v>99</v>
      </c>
      <c r="D295" t="s">
        <v>886</v>
      </c>
      <c r="E295" t="s">
        <v>1733</v>
      </c>
      <c r="F295">
        <v>7.9</v>
      </c>
      <c r="G295">
        <v>76</v>
      </c>
      <c r="H295" t="s">
        <v>1750</v>
      </c>
      <c r="I295" t="s">
        <v>1751</v>
      </c>
      <c r="J295" t="s">
        <v>1752</v>
      </c>
      <c r="K295" t="s">
        <v>1753</v>
      </c>
      <c r="L295" t="s">
        <v>1754</v>
      </c>
      <c r="M295">
        <v>512249</v>
      </c>
      <c r="N295" s="25">
        <v>13542874</v>
      </c>
      <c r="O295" s="26">
        <v>99</v>
      </c>
      <c r="P295" t="s">
        <v>135</v>
      </c>
    </row>
    <row r="296" spans="1:16" ht="15" customHeight="1" x14ac:dyDescent="0.3">
      <c r="A296" t="s">
        <v>1755</v>
      </c>
      <c r="B296" t="s">
        <v>294</v>
      </c>
      <c r="C296" t="s">
        <v>99</v>
      </c>
      <c r="D296" t="s">
        <v>181</v>
      </c>
      <c r="E296" t="s">
        <v>129</v>
      </c>
      <c r="F296">
        <v>7.7</v>
      </c>
      <c r="G296">
        <v>76</v>
      </c>
      <c r="H296" t="s">
        <v>511</v>
      </c>
      <c r="I296" t="s">
        <v>1756</v>
      </c>
      <c r="J296" t="s">
        <v>1386</v>
      </c>
      <c r="K296" t="s">
        <v>1757</v>
      </c>
      <c r="L296" t="s">
        <v>871</v>
      </c>
      <c r="M296">
        <v>472242</v>
      </c>
      <c r="N296" s="25">
        <v>32391374</v>
      </c>
      <c r="O296" s="26">
        <v>95</v>
      </c>
      <c r="P296" t="s">
        <v>135</v>
      </c>
    </row>
    <row r="297" spans="1:16" ht="15" customHeight="1" x14ac:dyDescent="0.3">
      <c r="A297" t="s">
        <v>1758</v>
      </c>
      <c r="B297" t="s">
        <v>107</v>
      </c>
      <c r="C297" t="s">
        <v>78</v>
      </c>
      <c r="D297" t="s">
        <v>341</v>
      </c>
      <c r="E297" t="s">
        <v>301</v>
      </c>
      <c r="F297">
        <v>7.8</v>
      </c>
      <c r="G297">
        <v>76</v>
      </c>
      <c r="H297" t="s">
        <v>1759</v>
      </c>
      <c r="I297" t="s">
        <v>1760</v>
      </c>
      <c r="J297" t="s">
        <v>1761</v>
      </c>
      <c r="K297" t="s">
        <v>1762</v>
      </c>
      <c r="L297" t="s">
        <v>1763</v>
      </c>
      <c r="M297">
        <v>50523</v>
      </c>
      <c r="N297" s="25">
        <v>4231500</v>
      </c>
      <c r="O297" s="26">
        <v>104</v>
      </c>
      <c r="P297" t="s">
        <v>71</v>
      </c>
    </row>
    <row r="298" spans="1:16" ht="15" customHeight="1" x14ac:dyDescent="0.3">
      <c r="A298" t="s">
        <v>1764</v>
      </c>
      <c r="B298" t="s">
        <v>329</v>
      </c>
      <c r="C298" t="s">
        <v>146</v>
      </c>
      <c r="D298" t="s">
        <v>524</v>
      </c>
      <c r="E298" t="s">
        <v>718</v>
      </c>
      <c r="F298">
        <v>7.7</v>
      </c>
      <c r="G298">
        <v>76</v>
      </c>
      <c r="H298" t="s">
        <v>1765</v>
      </c>
      <c r="I298" t="s">
        <v>1766</v>
      </c>
      <c r="J298" t="s">
        <v>1767</v>
      </c>
      <c r="K298" t="s">
        <v>481</v>
      </c>
      <c r="L298" t="s">
        <v>1013</v>
      </c>
      <c r="M298">
        <v>181285</v>
      </c>
      <c r="N298" s="25">
        <v>8551228</v>
      </c>
      <c r="O298" s="26">
        <v>120</v>
      </c>
      <c r="P298" t="s">
        <v>71</v>
      </c>
    </row>
    <row r="299" spans="1:16" ht="15" customHeight="1" x14ac:dyDescent="0.3">
      <c r="A299" t="s">
        <v>1768</v>
      </c>
      <c r="B299" t="s">
        <v>547</v>
      </c>
      <c r="C299" t="s">
        <v>78</v>
      </c>
      <c r="D299" t="s">
        <v>1084</v>
      </c>
      <c r="E299" t="s">
        <v>1549</v>
      </c>
      <c r="F299">
        <v>7.8</v>
      </c>
      <c r="G299">
        <v>76</v>
      </c>
      <c r="H299" t="s">
        <v>1665</v>
      </c>
      <c r="I299" t="s">
        <v>1667</v>
      </c>
      <c r="J299" t="s">
        <v>1197</v>
      </c>
      <c r="K299" t="s">
        <v>274</v>
      </c>
      <c r="L299" t="s">
        <v>1769</v>
      </c>
      <c r="M299">
        <v>305611</v>
      </c>
      <c r="N299" s="25">
        <v>177002924</v>
      </c>
      <c r="O299" s="26">
        <v>102</v>
      </c>
      <c r="P299" t="s">
        <v>572</v>
      </c>
    </row>
    <row r="300" spans="1:16" ht="15" customHeight="1" x14ac:dyDescent="0.3">
      <c r="A300" t="s">
        <v>1770</v>
      </c>
      <c r="B300" t="s">
        <v>457</v>
      </c>
      <c r="C300" t="s">
        <v>88</v>
      </c>
      <c r="D300" t="s">
        <v>642</v>
      </c>
      <c r="E300" t="s">
        <v>427</v>
      </c>
      <c r="F300">
        <v>7.9</v>
      </c>
      <c r="G300">
        <v>76</v>
      </c>
      <c r="H300" t="s">
        <v>1771</v>
      </c>
      <c r="I300" t="s">
        <v>1771</v>
      </c>
      <c r="J300" t="s">
        <v>1772</v>
      </c>
      <c r="K300" t="s">
        <v>1773</v>
      </c>
      <c r="L300" t="s">
        <v>1774</v>
      </c>
      <c r="M300">
        <v>37183</v>
      </c>
      <c r="N300" s="25">
        <v>61001</v>
      </c>
      <c r="O300" s="26">
        <v>114</v>
      </c>
      <c r="P300" t="s">
        <v>124</v>
      </c>
    </row>
    <row r="301" spans="1:16" ht="15" customHeight="1" x14ac:dyDescent="0.3">
      <c r="A301" t="s">
        <v>1775</v>
      </c>
      <c r="B301" t="s">
        <v>547</v>
      </c>
      <c r="C301" t="s">
        <v>146</v>
      </c>
      <c r="D301" t="s">
        <v>271</v>
      </c>
      <c r="E301" t="s">
        <v>223</v>
      </c>
      <c r="F301">
        <v>7.9</v>
      </c>
      <c r="G301">
        <v>76</v>
      </c>
      <c r="H301" t="s">
        <v>1776</v>
      </c>
      <c r="I301" t="s">
        <v>1018</v>
      </c>
      <c r="J301" t="s">
        <v>1777</v>
      </c>
      <c r="K301" t="s">
        <v>1249</v>
      </c>
      <c r="L301" t="s">
        <v>1778</v>
      </c>
      <c r="M301">
        <v>466134</v>
      </c>
      <c r="N301" s="25">
        <v>32381218</v>
      </c>
      <c r="O301" s="26">
        <v>117</v>
      </c>
      <c r="P301" t="s">
        <v>172</v>
      </c>
    </row>
    <row r="302" spans="1:16" ht="15" customHeight="1" x14ac:dyDescent="0.3">
      <c r="A302" t="s">
        <v>1779</v>
      </c>
      <c r="B302" t="s">
        <v>189</v>
      </c>
      <c r="C302" t="s">
        <v>88</v>
      </c>
      <c r="D302" t="s">
        <v>1780</v>
      </c>
      <c r="E302" t="s">
        <v>71</v>
      </c>
      <c r="F302">
        <v>7.8</v>
      </c>
      <c r="G302">
        <v>76</v>
      </c>
      <c r="H302" t="s">
        <v>518</v>
      </c>
      <c r="I302" t="s">
        <v>1781</v>
      </c>
      <c r="J302" t="s">
        <v>1213</v>
      </c>
      <c r="K302" t="s">
        <v>1782</v>
      </c>
      <c r="L302" t="s">
        <v>1783</v>
      </c>
      <c r="M302">
        <v>62428</v>
      </c>
      <c r="N302" s="25">
        <v>4040691</v>
      </c>
      <c r="O302" s="26">
        <v>159</v>
      </c>
      <c r="P302" t="s">
        <v>71</v>
      </c>
    </row>
    <row r="303" spans="1:16" ht="15" customHeight="1" x14ac:dyDescent="0.3">
      <c r="A303" t="s">
        <v>1784</v>
      </c>
      <c r="B303" t="s">
        <v>286</v>
      </c>
      <c r="C303" t="s">
        <v>78</v>
      </c>
      <c r="D303" t="s">
        <v>207</v>
      </c>
      <c r="E303" t="s">
        <v>1549</v>
      </c>
      <c r="F303">
        <v>8.4</v>
      </c>
      <c r="G303">
        <v>76</v>
      </c>
      <c r="H303" t="s">
        <v>1785</v>
      </c>
      <c r="I303" t="s">
        <v>1786</v>
      </c>
      <c r="J303" t="s">
        <v>1787</v>
      </c>
      <c r="K303" t="s">
        <v>1788</v>
      </c>
      <c r="L303" t="s">
        <v>431</v>
      </c>
      <c r="M303">
        <v>343171</v>
      </c>
      <c r="N303" s="25">
        <v>2375308</v>
      </c>
      <c r="O303" s="26">
        <v>134</v>
      </c>
      <c r="P303" t="s">
        <v>572</v>
      </c>
    </row>
    <row r="304" spans="1:16" ht="15" customHeight="1" x14ac:dyDescent="0.3">
      <c r="A304" t="s">
        <v>1789</v>
      </c>
      <c r="B304" t="s">
        <v>465</v>
      </c>
      <c r="C304" t="s">
        <v>146</v>
      </c>
      <c r="D304" t="s">
        <v>811</v>
      </c>
      <c r="E304" t="s">
        <v>223</v>
      </c>
      <c r="F304">
        <v>8.1999999999999993</v>
      </c>
      <c r="G304">
        <v>76</v>
      </c>
      <c r="H304" t="s">
        <v>1790</v>
      </c>
      <c r="I304" t="s">
        <v>505</v>
      </c>
      <c r="J304" t="s">
        <v>225</v>
      </c>
      <c r="K304" t="s">
        <v>251</v>
      </c>
      <c r="L304" t="s">
        <v>1791</v>
      </c>
      <c r="M304">
        <v>577113</v>
      </c>
      <c r="N304" s="25">
        <v>67436818</v>
      </c>
      <c r="O304" s="26">
        <v>170</v>
      </c>
      <c r="P304" t="s">
        <v>172</v>
      </c>
    </row>
    <row r="305" spans="1:16" ht="15" customHeight="1" x14ac:dyDescent="0.3">
      <c r="A305" t="s">
        <v>1792</v>
      </c>
      <c r="B305" t="s">
        <v>145</v>
      </c>
      <c r="C305" t="s">
        <v>99</v>
      </c>
      <c r="D305" t="s">
        <v>496</v>
      </c>
      <c r="E305" t="s">
        <v>1793</v>
      </c>
      <c r="F305">
        <v>8.3000000000000007</v>
      </c>
      <c r="G305">
        <v>76</v>
      </c>
      <c r="H305" t="s">
        <v>919</v>
      </c>
      <c r="I305" t="s">
        <v>1794</v>
      </c>
      <c r="J305" t="s">
        <v>1795</v>
      </c>
      <c r="K305" t="s">
        <v>1796</v>
      </c>
      <c r="L305" t="s">
        <v>1797</v>
      </c>
      <c r="M305">
        <v>675146</v>
      </c>
      <c r="N305" s="25">
        <v>46357676</v>
      </c>
      <c r="O305" s="26">
        <v>116</v>
      </c>
      <c r="P305" t="s">
        <v>71</v>
      </c>
    </row>
    <row r="306" spans="1:16" ht="15" customHeight="1" x14ac:dyDescent="0.3">
      <c r="A306" t="s">
        <v>1798</v>
      </c>
      <c r="B306" t="s">
        <v>87</v>
      </c>
      <c r="C306" t="s">
        <v>146</v>
      </c>
      <c r="D306" t="s">
        <v>490</v>
      </c>
      <c r="E306" t="s">
        <v>90</v>
      </c>
      <c r="F306">
        <v>7.7</v>
      </c>
      <c r="G306">
        <v>76</v>
      </c>
      <c r="H306" t="s">
        <v>1312</v>
      </c>
      <c r="I306" t="s">
        <v>926</v>
      </c>
      <c r="J306" t="s">
        <v>590</v>
      </c>
      <c r="K306" t="s">
        <v>1799</v>
      </c>
      <c r="L306" t="s">
        <v>983</v>
      </c>
      <c r="M306">
        <v>288797</v>
      </c>
      <c r="N306" s="25">
        <v>53606916</v>
      </c>
      <c r="O306" s="26">
        <v>122</v>
      </c>
      <c r="P306" t="s">
        <v>96</v>
      </c>
    </row>
    <row r="307" spans="1:16" ht="15" customHeight="1" x14ac:dyDescent="0.3">
      <c r="A307" t="s">
        <v>1800</v>
      </c>
      <c r="B307" t="s">
        <v>797</v>
      </c>
      <c r="C307" t="s">
        <v>78</v>
      </c>
      <c r="D307" t="s">
        <v>725</v>
      </c>
      <c r="E307" t="s">
        <v>342</v>
      </c>
      <c r="F307">
        <v>7.6</v>
      </c>
      <c r="G307">
        <v>76</v>
      </c>
      <c r="H307" t="s">
        <v>1801</v>
      </c>
      <c r="I307" t="s">
        <v>1802</v>
      </c>
      <c r="J307" t="s">
        <v>1803</v>
      </c>
      <c r="K307" t="s">
        <v>1804</v>
      </c>
      <c r="L307" t="s">
        <v>1805</v>
      </c>
      <c r="M307">
        <v>152871</v>
      </c>
      <c r="N307" s="25">
        <v>78756177</v>
      </c>
      <c r="O307" s="26">
        <v>85</v>
      </c>
      <c r="P307" t="s">
        <v>135</v>
      </c>
    </row>
    <row r="308" spans="1:16" ht="15" customHeight="1" x14ac:dyDescent="0.3">
      <c r="A308" t="s">
        <v>1806</v>
      </c>
      <c r="B308" t="s">
        <v>389</v>
      </c>
      <c r="C308" t="s">
        <v>69</v>
      </c>
      <c r="D308" t="s">
        <v>1269</v>
      </c>
      <c r="E308" t="s">
        <v>71</v>
      </c>
      <c r="F308">
        <v>7.7</v>
      </c>
      <c r="G308">
        <v>76</v>
      </c>
      <c r="H308" t="s">
        <v>1807</v>
      </c>
      <c r="I308" t="s">
        <v>1808</v>
      </c>
      <c r="J308" t="s">
        <v>932</v>
      </c>
      <c r="K308" t="s">
        <v>761</v>
      </c>
      <c r="L308" t="s">
        <v>1809</v>
      </c>
      <c r="M308">
        <v>40403</v>
      </c>
      <c r="N308" s="25">
        <v>15539266</v>
      </c>
      <c r="O308" s="26">
        <v>105</v>
      </c>
      <c r="P308" t="s">
        <v>71</v>
      </c>
    </row>
    <row r="309" spans="1:16" ht="15" customHeight="1" x14ac:dyDescent="0.3">
      <c r="A309" t="s">
        <v>1810</v>
      </c>
      <c r="B309" t="s">
        <v>270</v>
      </c>
      <c r="C309" t="s">
        <v>88</v>
      </c>
      <c r="D309" t="s">
        <v>190</v>
      </c>
      <c r="E309" t="s">
        <v>191</v>
      </c>
      <c r="F309">
        <v>7.6</v>
      </c>
      <c r="G309">
        <v>76</v>
      </c>
      <c r="H309" t="s">
        <v>1063</v>
      </c>
      <c r="I309" t="s">
        <v>176</v>
      </c>
      <c r="J309" t="s">
        <v>999</v>
      </c>
      <c r="K309" t="s">
        <v>1811</v>
      </c>
      <c r="L309" t="s">
        <v>691</v>
      </c>
      <c r="M309">
        <v>339757</v>
      </c>
      <c r="N309" s="25">
        <v>88513495</v>
      </c>
      <c r="O309" s="26">
        <v>129</v>
      </c>
      <c r="P309" t="s">
        <v>172</v>
      </c>
    </row>
    <row r="310" spans="1:16" ht="15" customHeight="1" x14ac:dyDescent="0.3">
      <c r="A310" t="s">
        <v>1812</v>
      </c>
      <c r="B310" t="s">
        <v>68</v>
      </c>
      <c r="C310" t="s">
        <v>146</v>
      </c>
      <c r="D310" t="s">
        <v>315</v>
      </c>
      <c r="E310" t="s">
        <v>905</v>
      </c>
      <c r="F310">
        <v>7.6</v>
      </c>
      <c r="G310">
        <v>76</v>
      </c>
      <c r="H310" t="s">
        <v>1813</v>
      </c>
      <c r="I310" t="s">
        <v>1814</v>
      </c>
      <c r="J310" t="s">
        <v>1815</v>
      </c>
      <c r="K310" t="s">
        <v>1816</v>
      </c>
      <c r="L310" t="s">
        <v>1817</v>
      </c>
      <c r="M310">
        <v>266842</v>
      </c>
      <c r="N310" s="25">
        <v>52364010</v>
      </c>
      <c r="O310" s="26">
        <v>110</v>
      </c>
      <c r="P310" t="s">
        <v>135</v>
      </c>
    </row>
    <row r="311" spans="1:16" ht="15" customHeight="1" x14ac:dyDescent="0.3">
      <c r="A311" t="s">
        <v>1818</v>
      </c>
      <c r="B311" t="s">
        <v>465</v>
      </c>
      <c r="C311" t="s">
        <v>99</v>
      </c>
      <c r="D311" t="s">
        <v>1819</v>
      </c>
      <c r="E311" t="s">
        <v>566</v>
      </c>
      <c r="F311">
        <v>8</v>
      </c>
      <c r="G311">
        <v>76</v>
      </c>
      <c r="H311" t="s">
        <v>1820</v>
      </c>
      <c r="I311" t="s">
        <v>1821</v>
      </c>
      <c r="J311" t="s">
        <v>1822</v>
      </c>
      <c r="K311" t="s">
        <v>1823</v>
      </c>
      <c r="L311" t="s">
        <v>1824</v>
      </c>
      <c r="M311">
        <v>129231</v>
      </c>
      <c r="N311" s="25">
        <v>515905</v>
      </c>
      <c r="O311" s="26">
        <v>83</v>
      </c>
      <c r="P311" t="s">
        <v>572</v>
      </c>
    </row>
    <row r="312" spans="1:16" ht="15" customHeight="1" x14ac:dyDescent="0.3">
      <c r="A312" t="s">
        <v>1825</v>
      </c>
      <c r="B312" t="s">
        <v>286</v>
      </c>
      <c r="C312" t="s">
        <v>146</v>
      </c>
      <c r="D312" t="s">
        <v>786</v>
      </c>
      <c r="E312" t="s">
        <v>280</v>
      </c>
      <c r="F312">
        <v>7.7</v>
      </c>
      <c r="G312">
        <v>76</v>
      </c>
      <c r="H312" t="s">
        <v>1826</v>
      </c>
      <c r="I312" t="s">
        <v>505</v>
      </c>
      <c r="J312" t="s">
        <v>120</v>
      </c>
      <c r="K312" t="s">
        <v>1147</v>
      </c>
      <c r="L312" t="s">
        <v>1739</v>
      </c>
      <c r="M312">
        <v>279318</v>
      </c>
      <c r="N312" s="25">
        <v>41909762</v>
      </c>
      <c r="O312" s="26">
        <v>127</v>
      </c>
      <c r="P312" t="s">
        <v>204</v>
      </c>
    </row>
    <row r="313" spans="1:16" ht="15" customHeight="1" x14ac:dyDescent="0.3">
      <c r="A313" t="s">
        <v>1827</v>
      </c>
      <c r="B313" t="s">
        <v>502</v>
      </c>
      <c r="C313" t="s">
        <v>99</v>
      </c>
      <c r="D313" t="s">
        <v>402</v>
      </c>
      <c r="E313" t="s">
        <v>559</v>
      </c>
      <c r="F313">
        <v>7.7</v>
      </c>
      <c r="G313">
        <v>76</v>
      </c>
      <c r="H313" t="s">
        <v>1790</v>
      </c>
      <c r="I313" t="s">
        <v>1828</v>
      </c>
      <c r="J313" t="s">
        <v>1603</v>
      </c>
      <c r="K313" t="s">
        <v>1829</v>
      </c>
      <c r="L313" t="s">
        <v>1830</v>
      </c>
      <c r="M313">
        <v>150409</v>
      </c>
      <c r="N313" s="25">
        <v>75505856</v>
      </c>
      <c r="O313" s="26">
        <v>112</v>
      </c>
      <c r="P313" t="s">
        <v>96</v>
      </c>
    </row>
    <row r="314" spans="1:16" ht="15" customHeight="1" x14ac:dyDescent="0.3">
      <c r="A314" t="s">
        <v>1831</v>
      </c>
      <c r="B314" t="s">
        <v>753</v>
      </c>
      <c r="C314" t="s">
        <v>146</v>
      </c>
      <c r="D314" t="s">
        <v>402</v>
      </c>
      <c r="E314" t="s">
        <v>166</v>
      </c>
      <c r="F314">
        <v>7.8</v>
      </c>
      <c r="G314">
        <v>76</v>
      </c>
      <c r="H314" t="s">
        <v>1832</v>
      </c>
      <c r="I314" t="s">
        <v>976</v>
      </c>
      <c r="J314" t="s">
        <v>1481</v>
      </c>
      <c r="K314" t="s">
        <v>1833</v>
      </c>
      <c r="L314" t="s">
        <v>1834</v>
      </c>
      <c r="M314">
        <v>126082</v>
      </c>
      <c r="N314" s="25">
        <v>57504069</v>
      </c>
      <c r="O314" s="26">
        <v>112</v>
      </c>
      <c r="P314" t="s">
        <v>172</v>
      </c>
    </row>
    <row r="315" spans="1:16" ht="15" customHeight="1" x14ac:dyDescent="0.3">
      <c r="A315" t="s">
        <v>1835</v>
      </c>
      <c r="B315" t="s">
        <v>145</v>
      </c>
      <c r="C315" t="s">
        <v>78</v>
      </c>
      <c r="D315" t="s">
        <v>1836</v>
      </c>
      <c r="E315" t="s">
        <v>1057</v>
      </c>
      <c r="F315">
        <v>7.7</v>
      </c>
      <c r="G315">
        <v>76</v>
      </c>
      <c r="H315" t="s">
        <v>1837</v>
      </c>
      <c r="I315" t="s">
        <v>1838</v>
      </c>
      <c r="J315" t="s">
        <v>1839</v>
      </c>
      <c r="K315" t="s">
        <v>1840</v>
      </c>
      <c r="L315" t="s">
        <v>1841</v>
      </c>
      <c r="M315">
        <v>94326</v>
      </c>
      <c r="N315" s="25">
        <v>43984230</v>
      </c>
      <c r="O315" s="26">
        <v>163</v>
      </c>
      <c r="P315" t="s">
        <v>204</v>
      </c>
    </row>
    <row r="316" spans="1:16" ht="15" customHeight="1" x14ac:dyDescent="0.3">
      <c r="A316" t="s">
        <v>1842</v>
      </c>
      <c r="B316" t="s">
        <v>77</v>
      </c>
      <c r="C316" t="s">
        <v>78</v>
      </c>
      <c r="D316" t="s">
        <v>539</v>
      </c>
      <c r="E316" t="s">
        <v>1843</v>
      </c>
      <c r="F316">
        <v>7.6</v>
      </c>
      <c r="G316">
        <v>76</v>
      </c>
      <c r="H316" t="s">
        <v>888</v>
      </c>
      <c r="I316" t="s">
        <v>1120</v>
      </c>
      <c r="J316" t="s">
        <v>1844</v>
      </c>
      <c r="K316" t="s">
        <v>1811</v>
      </c>
      <c r="L316" t="s">
        <v>890</v>
      </c>
      <c r="M316">
        <v>70925</v>
      </c>
      <c r="N316" s="25">
        <v>6167817</v>
      </c>
      <c r="O316" s="26">
        <v>133</v>
      </c>
      <c r="P316" t="s">
        <v>71</v>
      </c>
    </row>
    <row r="317" spans="1:16" ht="15" customHeight="1" x14ac:dyDescent="0.3">
      <c r="A317" t="s">
        <v>1845</v>
      </c>
      <c r="B317" t="s">
        <v>145</v>
      </c>
      <c r="C317" t="s">
        <v>78</v>
      </c>
      <c r="D317" t="s">
        <v>1664</v>
      </c>
      <c r="E317" t="s">
        <v>739</v>
      </c>
      <c r="F317">
        <v>8</v>
      </c>
      <c r="G317">
        <v>77</v>
      </c>
      <c r="H317" t="s">
        <v>130</v>
      </c>
      <c r="I317" t="s">
        <v>158</v>
      </c>
      <c r="J317" t="s">
        <v>1846</v>
      </c>
      <c r="K317" t="s">
        <v>1847</v>
      </c>
      <c r="L317" t="s">
        <v>1848</v>
      </c>
      <c r="M317">
        <v>393899</v>
      </c>
      <c r="N317" s="25">
        <v>30857814</v>
      </c>
      <c r="O317" s="26">
        <v>98</v>
      </c>
      <c r="P317" t="s">
        <v>124</v>
      </c>
    </row>
    <row r="318" spans="1:16" ht="15" customHeight="1" x14ac:dyDescent="0.3">
      <c r="A318" t="s">
        <v>1849</v>
      </c>
      <c r="B318" t="s">
        <v>749</v>
      </c>
      <c r="C318" t="s">
        <v>78</v>
      </c>
      <c r="D318" t="s">
        <v>1084</v>
      </c>
      <c r="E318" t="s">
        <v>263</v>
      </c>
      <c r="F318">
        <v>8.1</v>
      </c>
      <c r="G318">
        <v>77</v>
      </c>
      <c r="H318" t="s">
        <v>1850</v>
      </c>
      <c r="I318" t="s">
        <v>1851</v>
      </c>
      <c r="J318" t="s">
        <v>1852</v>
      </c>
      <c r="K318" t="s">
        <v>1645</v>
      </c>
      <c r="L318" t="s">
        <v>1853</v>
      </c>
      <c r="M318">
        <v>63122</v>
      </c>
      <c r="N318" s="25">
        <v>600200</v>
      </c>
      <c r="O318" s="26">
        <v>102</v>
      </c>
      <c r="P318" t="s">
        <v>135</v>
      </c>
    </row>
    <row r="319" spans="1:16" ht="15" customHeight="1" x14ac:dyDescent="0.3">
      <c r="A319" t="s">
        <v>1854</v>
      </c>
      <c r="B319" t="s">
        <v>107</v>
      </c>
      <c r="C319" t="s">
        <v>69</v>
      </c>
      <c r="D319" t="s">
        <v>1664</v>
      </c>
      <c r="E319" t="s">
        <v>403</v>
      </c>
      <c r="F319">
        <v>7.6</v>
      </c>
      <c r="G319">
        <v>77</v>
      </c>
      <c r="H319" t="s">
        <v>1855</v>
      </c>
      <c r="I319" t="s">
        <v>1856</v>
      </c>
      <c r="J319" t="s">
        <v>1857</v>
      </c>
      <c r="K319" t="s">
        <v>1858</v>
      </c>
      <c r="L319" t="s">
        <v>1859</v>
      </c>
      <c r="M319">
        <v>94212</v>
      </c>
      <c r="N319" s="25">
        <v>37707719</v>
      </c>
      <c r="O319" s="26">
        <v>98</v>
      </c>
      <c r="P319" t="s">
        <v>204</v>
      </c>
    </row>
    <row r="320" spans="1:16" ht="15" customHeight="1" x14ac:dyDescent="0.3">
      <c r="A320" t="s">
        <v>1860</v>
      </c>
      <c r="B320" t="s">
        <v>434</v>
      </c>
      <c r="C320" t="s">
        <v>88</v>
      </c>
      <c r="D320" t="s">
        <v>89</v>
      </c>
      <c r="E320" t="s">
        <v>71</v>
      </c>
      <c r="F320">
        <v>8.3000000000000007</v>
      </c>
      <c r="G320">
        <v>77</v>
      </c>
      <c r="H320" t="s">
        <v>1861</v>
      </c>
      <c r="I320" t="s">
        <v>266</v>
      </c>
      <c r="J320" t="s">
        <v>1862</v>
      </c>
      <c r="K320" t="s">
        <v>1863</v>
      </c>
      <c r="L320" t="s">
        <v>1864</v>
      </c>
      <c r="M320">
        <v>281623</v>
      </c>
      <c r="N320" s="25">
        <v>687185</v>
      </c>
      <c r="O320" s="26">
        <v>115</v>
      </c>
      <c r="P320" t="s">
        <v>71</v>
      </c>
    </row>
    <row r="321" spans="1:16" ht="15" customHeight="1" x14ac:dyDescent="0.3">
      <c r="A321" t="s">
        <v>1865</v>
      </c>
      <c r="B321" t="s">
        <v>137</v>
      </c>
      <c r="C321" t="s">
        <v>146</v>
      </c>
      <c r="D321" t="s">
        <v>360</v>
      </c>
      <c r="E321" t="s">
        <v>377</v>
      </c>
      <c r="F321">
        <v>8.4</v>
      </c>
      <c r="G321">
        <v>77</v>
      </c>
      <c r="H321" t="s">
        <v>390</v>
      </c>
      <c r="I321" t="s">
        <v>1866</v>
      </c>
      <c r="J321" t="s">
        <v>1867</v>
      </c>
      <c r="K321" t="s">
        <v>1868</v>
      </c>
      <c r="L321" t="s">
        <v>1869</v>
      </c>
      <c r="M321">
        <v>515451</v>
      </c>
      <c r="N321" s="25">
        <v>707481</v>
      </c>
      <c r="O321" s="26">
        <v>101</v>
      </c>
      <c r="P321" t="s">
        <v>96</v>
      </c>
    </row>
    <row r="322" spans="1:16" ht="15" customHeight="1" x14ac:dyDescent="0.3">
      <c r="A322" t="s">
        <v>1870</v>
      </c>
      <c r="B322" t="s">
        <v>951</v>
      </c>
      <c r="C322" t="s">
        <v>146</v>
      </c>
      <c r="D322" t="s">
        <v>960</v>
      </c>
      <c r="E322" t="s">
        <v>1871</v>
      </c>
      <c r="F322">
        <v>8.3000000000000007</v>
      </c>
      <c r="G322">
        <v>77</v>
      </c>
      <c r="H322" t="s">
        <v>919</v>
      </c>
      <c r="I322" t="s">
        <v>1872</v>
      </c>
      <c r="J322" t="s">
        <v>1873</v>
      </c>
      <c r="K322" t="s">
        <v>1874</v>
      </c>
      <c r="L322" t="s">
        <v>1875</v>
      </c>
      <c r="M322">
        <v>757904</v>
      </c>
      <c r="N322" s="25">
        <v>6207725</v>
      </c>
      <c r="O322" s="26">
        <v>136</v>
      </c>
      <c r="P322" t="s">
        <v>172</v>
      </c>
    </row>
    <row r="323" spans="1:16" ht="15" customHeight="1" x14ac:dyDescent="0.3">
      <c r="A323" t="s">
        <v>1876</v>
      </c>
      <c r="B323" t="s">
        <v>818</v>
      </c>
      <c r="C323" t="s">
        <v>88</v>
      </c>
      <c r="D323" t="s">
        <v>262</v>
      </c>
      <c r="E323" t="s">
        <v>135</v>
      </c>
      <c r="F323">
        <v>8.1</v>
      </c>
      <c r="G323">
        <v>77</v>
      </c>
      <c r="H323" t="s">
        <v>1877</v>
      </c>
      <c r="I323" t="s">
        <v>1878</v>
      </c>
      <c r="J323" t="s">
        <v>1879</v>
      </c>
      <c r="K323" t="s">
        <v>1880</v>
      </c>
      <c r="L323" t="s">
        <v>119</v>
      </c>
      <c r="M323">
        <v>367250</v>
      </c>
      <c r="N323" s="25">
        <v>20045115</v>
      </c>
      <c r="O323" s="26">
        <v>94</v>
      </c>
      <c r="P323" t="s">
        <v>135</v>
      </c>
    </row>
    <row r="324" spans="1:16" ht="15" customHeight="1" x14ac:dyDescent="0.3">
      <c r="A324" t="s">
        <v>1881</v>
      </c>
      <c r="B324" t="s">
        <v>1066</v>
      </c>
      <c r="C324" t="s">
        <v>146</v>
      </c>
      <c r="D324" t="s">
        <v>1882</v>
      </c>
      <c r="E324" t="s">
        <v>148</v>
      </c>
      <c r="F324">
        <v>7.6</v>
      </c>
      <c r="G324">
        <v>77</v>
      </c>
      <c r="H324" t="s">
        <v>1883</v>
      </c>
      <c r="I324" t="s">
        <v>1051</v>
      </c>
      <c r="J324" t="s">
        <v>1884</v>
      </c>
      <c r="K324" t="s">
        <v>1885</v>
      </c>
      <c r="L324" t="s">
        <v>1886</v>
      </c>
      <c r="M324">
        <v>166588</v>
      </c>
      <c r="N324" s="25">
        <v>12465371</v>
      </c>
      <c r="O324" s="26">
        <v>96</v>
      </c>
      <c r="P324" t="s">
        <v>96</v>
      </c>
    </row>
    <row r="325" spans="1:16" ht="15" customHeight="1" x14ac:dyDescent="0.3">
      <c r="A325" t="s">
        <v>1887</v>
      </c>
      <c r="B325" t="s">
        <v>547</v>
      </c>
      <c r="C325" t="s">
        <v>88</v>
      </c>
      <c r="D325" t="s">
        <v>490</v>
      </c>
      <c r="E325" t="s">
        <v>1115</v>
      </c>
      <c r="F325">
        <v>8.1</v>
      </c>
      <c r="G325">
        <v>77</v>
      </c>
      <c r="H325" t="s">
        <v>1888</v>
      </c>
      <c r="I325" t="s">
        <v>1889</v>
      </c>
      <c r="J325" t="s">
        <v>1890</v>
      </c>
      <c r="K325" t="s">
        <v>1891</v>
      </c>
      <c r="L325" t="s">
        <v>1892</v>
      </c>
      <c r="M325">
        <v>177059</v>
      </c>
      <c r="N325" s="25">
        <v>3107072</v>
      </c>
      <c r="O325" s="26">
        <v>122</v>
      </c>
      <c r="P325" t="s">
        <v>135</v>
      </c>
    </row>
    <row r="326" spans="1:16" ht="15" customHeight="1" x14ac:dyDescent="0.3">
      <c r="A326" t="s">
        <v>1893</v>
      </c>
      <c r="B326" t="s">
        <v>127</v>
      </c>
      <c r="C326" t="s">
        <v>78</v>
      </c>
      <c r="D326" t="s">
        <v>583</v>
      </c>
      <c r="E326" t="s">
        <v>1894</v>
      </c>
      <c r="F326">
        <v>7.6</v>
      </c>
      <c r="G326">
        <v>77</v>
      </c>
      <c r="H326" t="s">
        <v>1149</v>
      </c>
      <c r="I326" t="s">
        <v>578</v>
      </c>
      <c r="J326" t="s">
        <v>1249</v>
      </c>
      <c r="K326" t="s">
        <v>226</v>
      </c>
      <c r="L326" t="s">
        <v>1895</v>
      </c>
      <c r="M326">
        <v>269197</v>
      </c>
      <c r="N326" s="25">
        <v>173837933</v>
      </c>
      <c r="O326" s="26">
        <v>140</v>
      </c>
      <c r="P326" t="s">
        <v>124</v>
      </c>
    </row>
    <row r="327" spans="1:16" ht="15" customHeight="1" x14ac:dyDescent="0.3">
      <c r="A327" t="s">
        <v>1896</v>
      </c>
      <c r="B327" t="s">
        <v>449</v>
      </c>
      <c r="C327" t="s">
        <v>78</v>
      </c>
      <c r="D327" t="s">
        <v>138</v>
      </c>
      <c r="E327" t="s">
        <v>674</v>
      </c>
      <c r="F327">
        <v>7.9</v>
      </c>
      <c r="G327">
        <v>77</v>
      </c>
      <c r="H327" t="s">
        <v>1897</v>
      </c>
      <c r="I327" t="s">
        <v>1898</v>
      </c>
      <c r="J327" t="s">
        <v>1899</v>
      </c>
      <c r="K327" t="s">
        <v>1900</v>
      </c>
      <c r="L327" t="s">
        <v>1901</v>
      </c>
      <c r="M327">
        <v>132947</v>
      </c>
      <c r="N327" s="25">
        <v>20605209</v>
      </c>
      <c r="O327" s="26">
        <v>93</v>
      </c>
      <c r="P327" t="s">
        <v>135</v>
      </c>
    </row>
    <row r="328" spans="1:16" ht="15" customHeight="1" x14ac:dyDescent="0.3">
      <c r="A328" t="s">
        <v>1902</v>
      </c>
      <c r="B328" t="s">
        <v>457</v>
      </c>
      <c r="C328" t="s">
        <v>78</v>
      </c>
      <c r="D328" t="s">
        <v>1084</v>
      </c>
      <c r="E328" t="s">
        <v>263</v>
      </c>
      <c r="F328">
        <v>8.1</v>
      </c>
      <c r="G328">
        <v>77</v>
      </c>
      <c r="H328" t="s">
        <v>1903</v>
      </c>
      <c r="I328" t="s">
        <v>1904</v>
      </c>
      <c r="J328" t="s">
        <v>1905</v>
      </c>
      <c r="K328" t="s">
        <v>1906</v>
      </c>
      <c r="L328" t="s">
        <v>1907</v>
      </c>
      <c r="M328">
        <v>42285</v>
      </c>
      <c r="N328" s="25">
        <v>30933743</v>
      </c>
      <c r="O328" s="26">
        <v>102</v>
      </c>
      <c r="P328" t="s">
        <v>135</v>
      </c>
    </row>
    <row r="329" spans="1:16" ht="15" customHeight="1" x14ac:dyDescent="0.3">
      <c r="A329" t="s">
        <v>1908</v>
      </c>
      <c r="B329" t="s">
        <v>951</v>
      </c>
      <c r="C329" t="s">
        <v>127</v>
      </c>
      <c r="D329" t="s">
        <v>1741</v>
      </c>
      <c r="E329" t="s">
        <v>1909</v>
      </c>
      <c r="F329">
        <v>7.6</v>
      </c>
      <c r="G329">
        <v>77</v>
      </c>
      <c r="H329" t="s">
        <v>1910</v>
      </c>
      <c r="I329" t="s">
        <v>1142</v>
      </c>
      <c r="J329" t="s">
        <v>1911</v>
      </c>
      <c r="K329" t="s">
        <v>1912</v>
      </c>
      <c r="L329" t="s">
        <v>1913</v>
      </c>
      <c r="M329">
        <v>30144</v>
      </c>
      <c r="N329" s="25">
        <v>696690</v>
      </c>
      <c r="O329" s="26">
        <v>157</v>
      </c>
      <c r="P329" t="s">
        <v>71</v>
      </c>
    </row>
    <row r="330" spans="1:16" ht="15" customHeight="1" x14ac:dyDescent="0.3">
      <c r="A330" t="s">
        <v>1914</v>
      </c>
      <c r="B330" t="s">
        <v>465</v>
      </c>
      <c r="C330" t="s">
        <v>146</v>
      </c>
      <c r="D330" t="s">
        <v>745</v>
      </c>
      <c r="E330" t="s">
        <v>1915</v>
      </c>
      <c r="F330">
        <v>8.5</v>
      </c>
      <c r="G330">
        <v>77</v>
      </c>
      <c r="H330" t="s">
        <v>209</v>
      </c>
      <c r="I330" t="s">
        <v>815</v>
      </c>
      <c r="J330" t="s">
        <v>876</v>
      </c>
      <c r="K330" t="s">
        <v>1916</v>
      </c>
      <c r="L330" t="s">
        <v>1917</v>
      </c>
      <c r="M330">
        <v>991208</v>
      </c>
      <c r="N330" s="25">
        <v>23341568</v>
      </c>
      <c r="O330" s="26">
        <v>106</v>
      </c>
      <c r="P330" t="s">
        <v>172</v>
      </c>
    </row>
    <row r="331" spans="1:16" ht="15" customHeight="1" x14ac:dyDescent="0.3">
      <c r="A331" t="s">
        <v>1918</v>
      </c>
      <c r="B331" t="s">
        <v>749</v>
      </c>
      <c r="C331" t="s">
        <v>146</v>
      </c>
      <c r="D331" t="s">
        <v>1084</v>
      </c>
      <c r="E331" t="s">
        <v>166</v>
      </c>
      <c r="F331">
        <v>7.9</v>
      </c>
      <c r="G331">
        <v>77</v>
      </c>
      <c r="H331" t="s">
        <v>1919</v>
      </c>
      <c r="I331" t="s">
        <v>1920</v>
      </c>
      <c r="J331" t="s">
        <v>1921</v>
      </c>
      <c r="K331" t="s">
        <v>1922</v>
      </c>
      <c r="L331" t="s">
        <v>1923</v>
      </c>
      <c r="M331">
        <v>31590</v>
      </c>
      <c r="N331" s="25">
        <v>2201126</v>
      </c>
      <c r="O331" s="26">
        <v>102</v>
      </c>
      <c r="P331" t="s">
        <v>172</v>
      </c>
    </row>
    <row r="332" spans="1:16" ht="15" customHeight="1" x14ac:dyDescent="0.3">
      <c r="A332" t="s">
        <v>1924</v>
      </c>
      <c r="B332" t="s">
        <v>417</v>
      </c>
      <c r="C332" t="s">
        <v>69</v>
      </c>
      <c r="D332" t="s">
        <v>341</v>
      </c>
      <c r="E332" t="s">
        <v>905</v>
      </c>
      <c r="F332">
        <v>7.9</v>
      </c>
      <c r="G332">
        <v>77</v>
      </c>
      <c r="H332" t="s">
        <v>1705</v>
      </c>
      <c r="I332" t="s">
        <v>1201</v>
      </c>
      <c r="J332" t="s">
        <v>1705</v>
      </c>
      <c r="K332" t="s">
        <v>1925</v>
      </c>
      <c r="L332" t="s">
        <v>1926</v>
      </c>
      <c r="M332">
        <v>54670</v>
      </c>
      <c r="N332" s="25">
        <v>18254702</v>
      </c>
      <c r="O332" s="26">
        <v>104</v>
      </c>
      <c r="P332" t="s">
        <v>135</v>
      </c>
    </row>
    <row r="333" spans="1:16" ht="15" customHeight="1" x14ac:dyDescent="0.3">
      <c r="A333" t="s">
        <v>1927</v>
      </c>
      <c r="B333" t="s">
        <v>510</v>
      </c>
      <c r="C333" t="s">
        <v>146</v>
      </c>
      <c r="D333" t="s">
        <v>1655</v>
      </c>
      <c r="E333" t="s">
        <v>650</v>
      </c>
      <c r="F333">
        <v>8.1</v>
      </c>
      <c r="G333">
        <v>77</v>
      </c>
      <c r="H333" t="s">
        <v>1312</v>
      </c>
      <c r="I333" t="s">
        <v>848</v>
      </c>
      <c r="J333" t="s">
        <v>1710</v>
      </c>
      <c r="K333" t="s">
        <v>1928</v>
      </c>
      <c r="L333" t="s">
        <v>1929</v>
      </c>
      <c r="M333">
        <v>647884</v>
      </c>
      <c r="N333" s="25">
        <v>226277068</v>
      </c>
      <c r="O333" s="26">
        <v>137</v>
      </c>
      <c r="P333" t="s">
        <v>96</v>
      </c>
    </row>
    <row r="334" spans="1:16" ht="15" customHeight="1" x14ac:dyDescent="0.3">
      <c r="A334" t="s">
        <v>1930</v>
      </c>
      <c r="B334" t="s">
        <v>465</v>
      </c>
      <c r="C334" t="s">
        <v>88</v>
      </c>
      <c r="D334" t="s">
        <v>360</v>
      </c>
      <c r="E334" t="s">
        <v>301</v>
      </c>
      <c r="F334">
        <v>8.1</v>
      </c>
      <c r="G334">
        <v>77</v>
      </c>
      <c r="H334" t="s">
        <v>1931</v>
      </c>
      <c r="I334" t="s">
        <v>630</v>
      </c>
      <c r="J334" t="s">
        <v>1932</v>
      </c>
      <c r="K334" t="s">
        <v>1933</v>
      </c>
      <c r="L334" t="s">
        <v>1934</v>
      </c>
      <c r="M334">
        <v>272291</v>
      </c>
      <c r="N334" s="25">
        <v>5535405</v>
      </c>
      <c r="O334" s="26">
        <v>101</v>
      </c>
      <c r="P334" t="s">
        <v>71</v>
      </c>
    </row>
    <row r="335" spans="1:16" ht="15" customHeight="1" x14ac:dyDescent="0.3">
      <c r="A335" t="s">
        <v>1935</v>
      </c>
      <c r="B335" t="s">
        <v>574</v>
      </c>
      <c r="C335" t="s">
        <v>88</v>
      </c>
      <c r="D335" t="s">
        <v>1936</v>
      </c>
      <c r="E335" t="s">
        <v>71</v>
      </c>
      <c r="F335">
        <v>8</v>
      </c>
      <c r="G335">
        <v>77</v>
      </c>
      <c r="H335" t="s">
        <v>1937</v>
      </c>
      <c r="I335" t="s">
        <v>355</v>
      </c>
      <c r="J335" t="s">
        <v>1938</v>
      </c>
      <c r="K335" t="s">
        <v>1939</v>
      </c>
      <c r="L335" t="s">
        <v>931</v>
      </c>
      <c r="M335">
        <v>289742</v>
      </c>
      <c r="N335" s="25">
        <v>22455976</v>
      </c>
      <c r="O335" s="26">
        <v>188</v>
      </c>
      <c r="P335" t="s">
        <v>71</v>
      </c>
    </row>
    <row r="336" spans="1:16" ht="15" customHeight="1" x14ac:dyDescent="0.3">
      <c r="A336" t="s">
        <v>1940</v>
      </c>
      <c r="B336" t="s">
        <v>286</v>
      </c>
      <c r="C336" t="s">
        <v>127</v>
      </c>
      <c r="D336" t="s">
        <v>1077</v>
      </c>
      <c r="E336" t="s">
        <v>1039</v>
      </c>
      <c r="F336">
        <v>8.3000000000000007</v>
      </c>
      <c r="G336">
        <v>77</v>
      </c>
      <c r="H336" t="s">
        <v>1941</v>
      </c>
      <c r="I336" t="s">
        <v>1942</v>
      </c>
      <c r="J336" t="s">
        <v>1943</v>
      </c>
      <c r="K336" t="s">
        <v>1944</v>
      </c>
      <c r="L336" t="s">
        <v>1945</v>
      </c>
      <c r="M336">
        <v>65341</v>
      </c>
      <c r="N336" s="25">
        <v>933933</v>
      </c>
      <c r="O336" s="26">
        <v>89</v>
      </c>
      <c r="P336" t="s">
        <v>71</v>
      </c>
    </row>
    <row r="337" spans="1:16" ht="15" customHeight="1" x14ac:dyDescent="0.3">
      <c r="A337" t="s">
        <v>1946</v>
      </c>
      <c r="B337" t="s">
        <v>1268</v>
      </c>
      <c r="C337" t="s">
        <v>78</v>
      </c>
      <c r="D337" t="s">
        <v>1283</v>
      </c>
      <c r="E337" t="s">
        <v>71</v>
      </c>
      <c r="F337">
        <v>8.1</v>
      </c>
      <c r="G337">
        <v>78</v>
      </c>
      <c r="H337" t="s">
        <v>1947</v>
      </c>
      <c r="I337" t="s">
        <v>1948</v>
      </c>
      <c r="J337" t="s">
        <v>1949</v>
      </c>
      <c r="K337" t="s">
        <v>1950</v>
      </c>
      <c r="L337" t="s">
        <v>1951</v>
      </c>
      <c r="M337">
        <v>91188</v>
      </c>
      <c r="N337" s="25">
        <v>2181987</v>
      </c>
      <c r="O337" s="26">
        <v>145</v>
      </c>
      <c r="P337" t="s">
        <v>71</v>
      </c>
    </row>
    <row r="338" spans="1:16" ht="15" customHeight="1" x14ac:dyDescent="0.3">
      <c r="A338" t="s">
        <v>1952</v>
      </c>
      <c r="B338" t="s">
        <v>270</v>
      </c>
      <c r="C338" t="s">
        <v>88</v>
      </c>
      <c r="D338" t="s">
        <v>524</v>
      </c>
      <c r="E338" t="s">
        <v>71</v>
      </c>
      <c r="F338">
        <v>7.7</v>
      </c>
      <c r="G338">
        <v>78</v>
      </c>
      <c r="H338" t="s">
        <v>805</v>
      </c>
      <c r="I338" t="s">
        <v>266</v>
      </c>
      <c r="J338" t="s">
        <v>1953</v>
      </c>
      <c r="K338" t="s">
        <v>1168</v>
      </c>
      <c r="L338" t="s">
        <v>1954</v>
      </c>
      <c r="M338">
        <v>32001</v>
      </c>
      <c r="N338" s="25">
        <v>412544</v>
      </c>
      <c r="O338" s="26">
        <v>120</v>
      </c>
      <c r="P338" t="s">
        <v>71</v>
      </c>
    </row>
    <row r="339" spans="1:16" ht="15" customHeight="1" x14ac:dyDescent="0.3">
      <c r="A339" t="s">
        <v>1955</v>
      </c>
      <c r="B339" t="s">
        <v>77</v>
      </c>
      <c r="C339" t="s">
        <v>99</v>
      </c>
      <c r="D339" t="s">
        <v>886</v>
      </c>
      <c r="E339" t="s">
        <v>1270</v>
      </c>
      <c r="F339">
        <v>7.7</v>
      </c>
      <c r="G339">
        <v>78</v>
      </c>
      <c r="H339" t="s">
        <v>1956</v>
      </c>
      <c r="I339" t="s">
        <v>1956</v>
      </c>
      <c r="J339" t="s">
        <v>1957</v>
      </c>
      <c r="K339" t="s">
        <v>1958</v>
      </c>
      <c r="L339" t="s">
        <v>1959</v>
      </c>
      <c r="M339">
        <v>127250</v>
      </c>
      <c r="N339" s="25">
        <v>17108591</v>
      </c>
      <c r="O339" s="26">
        <v>99</v>
      </c>
      <c r="P339" t="s">
        <v>96</v>
      </c>
    </row>
    <row r="340" spans="1:16" ht="15" customHeight="1" x14ac:dyDescent="0.3">
      <c r="A340" t="s">
        <v>1960</v>
      </c>
      <c r="B340" t="s">
        <v>471</v>
      </c>
      <c r="C340" t="s">
        <v>99</v>
      </c>
      <c r="D340" t="s">
        <v>952</v>
      </c>
      <c r="E340" t="s">
        <v>559</v>
      </c>
      <c r="F340">
        <v>8.4</v>
      </c>
      <c r="G340">
        <v>78</v>
      </c>
      <c r="H340" t="s">
        <v>1024</v>
      </c>
      <c r="I340" t="s">
        <v>1025</v>
      </c>
      <c r="J340" t="s">
        <v>398</v>
      </c>
      <c r="K340" t="s">
        <v>512</v>
      </c>
      <c r="L340" t="s">
        <v>704</v>
      </c>
      <c r="M340">
        <v>809955</v>
      </c>
      <c r="N340" s="25">
        <v>858373000</v>
      </c>
      <c r="O340" s="26">
        <v>181</v>
      </c>
      <c r="P340" t="s">
        <v>96</v>
      </c>
    </row>
    <row r="341" spans="1:16" ht="15" customHeight="1" x14ac:dyDescent="0.3">
      <c r="A341" t="s">
        <v>1961</v>
      </c>
      <c r="B341" t="s">
        <v>434</v>
      </c>
      <c r="C341" t="s">
        <v>99</v>
      </c>
      <c r="D341" t="s">
        <v>1962</v>
      </c>
      <c r="E341" t="s">
        <v>595</v>
      </c>
      <c r="F341">
        <v>8.4</v>
      </c>
      <c r="G341">
        <v>78</v>
      </c>
      <c r="H341" t="s">
        <v>847</v>
      </c>
      <c r="I341" t="s">
        <v>590</v>
      </c>
      <c r="J341" t="s">
        <v>1263</v>
      </c>
      <c r="K341" t="s">
        <v>1639</v>
      </c>
      <c r="L341" t="s">
        <v>291</v>
      </c>
      <c r="M341">
        <v>1516346</v>
      </c>
      <c r="N341" s="25">
        <v>448139099</v>
      </c>
      <c r="O341" s="26">
        <v>164</v>
      </c>
      <c r="P341" t="s">
        <v>96</v>
      </c>
    </row>
    <row r="342" spans="1:16" ht="15" customHeight="1" x14ac:dyDescent="0.3">
      <c r="A342" t="s">
        <v>1963</v>
      </c>
      <c r="B342" t="s">
        <v>164</v>
      </c>
      <c r="C342" t="s">
        <v>78</v>
      </c>
      <c r="D342" t="s">
        <v>1084</v>
      </c>
      <c r="E342" t="s">
        <v>135</v>
      </c>
      <c r="F342">
        <v>7.6</v>
      </c>
      <c r="G342">
        <v>78</v>
      </c>
      <c r="H342" t="s">
        <v>1931</v>
      </c>
      <c r="I342" t="s">
        <v>1964</v>
      </c>
      <c r="J342" t="s">
        <v>1965</v>
      </c>
      <c r="K342" t="s">
        <v>1638</v>
      </c>
      <c r="L342" t="s">
        <v>1966</v>
      </c>
      <c r="M342">
        <v>165465</v>
      </c>
      <c r="N342" s="25">
        <v>7993039</v>
      </c>
      <c r="O342" s="26">
        <v>102</v>
      </c>
      <c r="P342" t="s">
        <v>135</v>
      </c>
    </row>
    <row r="343" spans="1:16" ht="15" customHeight="1" x14ac:dyDescent="0.3">
      <c r="A343" t="s">
        <v>1967</v>
      </c>
      <c r="B343" t="s">
        <v>779</v>
      </c>
      <c r="C343" t="s">
        <v>99</v>
      </c>
      <c r="D343" t="s">
        <v>839</v>
      </c>
      <c r="E343" t="s">
        <v>71</v>
      </c>
      <c r="F343">
        <v>7.9</v>
      </c>
      <c r="G343">
        <v>78</v>
      </c>
      <c r="H343" t="s">
        <v>1968</v>
      </c>
      <c r="I343" t="s">
        <v>1969</v>
      </c>
      <c r="J343" t="s">
        <v>1970</v>
      </c>
      <c r="K343" t="s">
        <v>1971</v>
      </c>
      <c r="L343" t="s">
        <v>1972</v>
      </c>
      <c r="M343">
        <v>53818</v>
      </c>
      <c r="N343" s="25">
        <v>258168</v>
      </c>
      <c r="O343" s="26">
        <v>100</v>
      </c>
      <c r="P343" t="s">
        <v>71</v>
      </c>
    </row>
    <row r="344" spans="1:16" ht="15" customHeight="1" x14ac:dyDescent="0.3">
      <c r="A344" t="s">
        <v>1973</v>
      </c>
      <c r="B344" t="s">
        <v>547</v>
      </c>
      <c r="C344" t="s">
        <v>99</v>
      </c>
      <c r="D344" t="s">
        <v>418</v>
      </c>
      <c r="E344" t="s">
        <v>80</v>
      </c>
      <c r="F344">
        <v>7.7</v>
      </c>
      <c r="G344">
        <v>78</v>
      </c>
      <c r="H344" t="s">
        <v>1974</v>
      </c>
      <c r="I344" t="s">
        <v>1975</v>
      </c>
      <c r="J344" t="s">
        <v>337</v>
      </c>
      <c r="K344" t="s">
        <v>1976</v>
      </c>
      <c r="L344" t="s">
        <v>1977</v>
      </c>
      <c r="M344">
        <v>474141</v>
      </c>
      <c r="N344" s="25">
        <v>25442958</v>
      </c>
      <c r="O344" s="26">
        <v>108</v>
      </c>
      <c r="P344" t="s">
        <v>71</v>
      </c>
    </row>
    <row r="345" spans="1:16" ht="15" customHeight="1" x14ac:dyDescent="0.3">
      <c r="A345" t="s">
        <v>1978</v>
      </c>
      <c r="B345" t="s">
        <v>87</v>
      </c>
      <c r="C345" t="s">
        <v>99</v>
      </c>
      <c r="D345" t="s">
        <v>1741</v>
      </c>
      <c r="E345" t="s">
        <v>191</v>
      </c>
      <c r="F345">
        <v>7.7</v>
      </c>
      <c r="G345">
        <v>78</v>
      </c>
      <c r="H345" t="s">
        <v>602</v>
      </c>
      <c r="I345" t="s">
        <v>1018</v>
      </c>
      <c r="J345" t="s">
        <v>398</v>
      </c>
      <c r="K345" t="s">
        <v>704</v>
      </c>
      <c r="L345" t="s">
        <v>134</v>
      </c>
      <c r="M345">
        <v>466080</v>
      </c>
      <c r="N345" s="25">
        <v>33080084</v>
      </c>
      <c r="O345" s="26">
        <v>157</v>
      </c>
      <c r="P345" t="s">
        <v>172</v>
      </c>
    </row>
    <row r="346" spans="1:16" ht="15" customHeight="1" x14ac:dyDescent="0.3">
      <c r="A346" t="s">
        <v>1979</v>
      </c>
      <c r="B346" t="s">
        <v>87</v>
      </c>
      <c r="C346" t="s">
        <v>88</v>
      </c>
      <c r="D346" t="s">
        <v>490</v>
      </c>
      <c r="E346" t="s">
        <v>208</v>
      </c>
      <c r="F346">
        <v>7.7</v>
      </c>
      <c r="G346">
        <v>78</v>
      </c>
      <c r="H346" t="s">
        <v>1980</v>
      </c>
      <c r="I346" t="s">
        <v>1981</v>
      </c>
      <c r="J346" t="s">
        <v>932</v>
      </c>
      <c r="K346" t="s">
        <v>1982</v>
      </c>
      <c r="L346" t="s">
        <v>1630</v>
      </c>
      <c r="M346">
        <v>61609</v>
      </c>
      <c r="N346" s="25">
        <v>871577</v>
      </c>
      <c r="O346" s="26">
        <v>122</v>
      </c>
      <c r="P346" t="s">
        <v>204</v>
      </c>
    </row>
    <row r="347" spans="1:16" ht="15" customHeight="1" x14ac:dyDescent="0.3">
      <c r="A347" t="s">
        <v>1983</v>
      </c>
      <c r="B347" t="s">
        <v>294</v>
      </c>
      <c r="C347" t="s">
        <v>99</v>
      </c>
      <c r="D347" t="s">
        <v>605</v>
      </c>
      <c r="E347" t="s">
        <v>1984</v>
      </c>
      <c r="F347">
        <v>7.6</v>
      </c>
      <c r="G347">
        <v>78</v>
      </c>
      <c r="H347" t="s">
        <v>794</v>
      </c>
      <c r="I347" t="s">
        <v>740</v>
      </c>
      <c r="J347" t="s">
        <v>795</v>
      </c>
      <c r="K347" t="s">
        <v>741</v>
      </c>
      <c r="L347" t="s">
        <v>1985</v>
      </c>
      <c r="M347">
        <v>474827</v>
      </c>
      <c r="N347" s="25">
        <v>301959197</v>
      </c>
      <c r="O347" s="26">
        <v>153</v>
      </c>
      <c r="P347" t="s">
        <v>96</v>
      </c>
    </row>
    <row r="348" spans="1:16" ht="15" customHeight="1" x14ac:dyDescent="0.3">
      <c r="A348" t="s">
        <v>1986</v>
      </c>
      <c r="B348" t="s">
        <v>417</v>
      </c>
      <c r="C348" t="s">
        <v>88</v>
      </c>
      <c r="D348" t="s">
        <v>490</v>
      </c>
      <c r="E348" t="s">
        <v>1057</v>
      </c>
      <c r="F348">
        <v>7.8</v>
      </c>
      <c r="G348">
        <v>78</v>
      </c>
      <c r="H348" t="s">
        <v>354</v>
      </c>
      <c r="I348" t="s">
        <v>554</v>
      </c>
      <c r="J348" t="s">
        <v>176</v>
      </c>
      <c r="K348" t="s">
        <v>158</v>
      </c>
      <c r="L348" t="s">
        <v>319</v>
      </c>
      <c r="M348">
        <v>122779</v>
      </c>
      <c r="N348" s="25">
        <v>26830000</v>
      </c>
      <c r="O348" s="26">
        <v>122</v>
      </c>
      <c r="P348" t="s">
        <v>204</v>
      </c>
    </row>
    <row r="349" spans="1:16" ht="15" customHeight="1" x14ac:dyDescent="0.3">
      <c r="A349" t="s">
        <v>1987</v>
      </c>
      <c r="B349" t="s">
        <v>471</v>
      </c>
      <c r="C349" t="s">
        <v>88</v>
      </c>
      <c r="D349" t="s">
        <v>478</v>
      </c>
      <c r="E349" t="s">
        <v>1284</v>
      </c>
      <c r="F349">
        <v>8.3000000000000007</v>
      </c>
      <c r="G349">
        <v>78</v>
      </c>
      <c r="H349" t="s">
        <v>1380</v>
      </c>
      <c r="I349" t="s">
        <v>1988</v>
      </c>
      <c r="J349" t="s">
        <v>1308</v>
      </c>
      <c r="K349" t="s">
        <v>1989</v>
      </c>
      <c r="L349" t="s">
        <v>549</v>
      </c>
      <c r="M349">
        <v>425844</v>
      </c>
      <c r="N349" s="25">
        <v>159227644</v>
      </c>
      <c r="O349" s="26">
        <v>119</v>
      </c>
      <c r="P349" t="s">
        <v>71</v>
      </c>
    </row>
    <row r="350" spans="1:16" ht="15" customHeight="1" x14ac:dyDescent="0.3">
      <c r="A350" t="s">
        <v>1990</v>
      </c>
      <c r="B350" t="s">
        <v>779</v>
      </c>
      <c r="C350" t="s">
        <v>78</v>
      </c>
      <c r="D350" t="s">
        <v>418</v>
      </c>
      <c r="E350" t="s">
        <v>1241</v>
      </c>
      <c r="F350">
        <v>8</v>
      </c>
      <c r="G350">
        <v>78</v>
      </c>
      <c r="H350" t="s">
        <v>1243</v>
      </c>
      <c r="I350" t="s">
        <v>1389</v>
      </c>
      <c r="J350" t="s">
        <v>1991</v>
      </c>
      <c r="K350" t="s">
        <v>1314</v>
      </c>
      <c r="L350" t="s">
        <v>1992</v>
      </c>
      <c r="M350">
        <v>434143</v>
      </c>
      <c r="N350" s="25">
        <v>341268248</v>
      </c>
      <c r="O350" s="26">
        <v>108</v>
      </c>
      <c r="P350" t="s">
        <v>572</v>
      </c>
    </row>
    <row r="351" spans="1:16" ht="15" customHeight="1" x14ac:dyDescent="0.3">
      <c r="A351" t="s">
        <v>1993</v>
      </c>
      <c r="B351" t="s">
        <v>116</v>
      </c>
      <c r="C351" t="s">
        <v>146</v>
      </c>
      <c r="D351" t="s">
        <v>811</v>
      </c>
      <c r="E351" t="s">
        <v>1793</v>
      </c>
      <c r="F351">
        <v>7.6</v>
      </c>
      <c r="G351">
        <v>78</v>
      </c>
      <c r="H351" t="s">
        <v>1994</v>
      </c>
      <c r="I351" t="s">
        <v>561</v>
      </c>
      <c r="J351" t="s">
        <v>72</v>
      </c>
      <c r="K351" t="s">
        <v>1264</v>
      </c>
      <c r="L351" t="s">
        <v>1995</v>
      </c>
      <c r="M351">
        <v>172710</v>
      </c>
      <c r="N351" s="25">
        <v>36400491</v>
      </c>
      <c r="O351" s="26">
        <v>170</v>
      </c>
      <c r="P351" t="s">
        <v>71</v>
      </c>
    </row>
    <row r="352" spans="1:16" ht="15" customHeight="1" x14ac:dyDescent="0.3">
      <c r="A352" t="s">
        <v>1996</v>
      </c>
      <c r="B352" t="s">
        <v>641</v>
      </c>
      <c r="C352" t="s">
        <v>78</v>
      </c>
      <c r="D352" t="s">
        <v>353</v>
      </c>
      <c r="E352" t="s">
        <v>71</v>
      </c>
      <c r="F352">
        <v>7.8</v>
      </c>
      <c r="G352">
        <v>78</v>
      </c>
      <c r="H352" t="s">
        <v>607</v>
      </c>
      <c r="I352" t="s">
        <v>160</v>
      </c>
      <c r="J352" t="s">
        <v>1997</v>
      </c>
      <c r="K352" t="s">
        <v>1998</v>
      </c>
      <c r="L352" t="s">
        <v>1999</v>
      </c>
      <c r="M352">
        <v>78321</v>
      </c>
      <c r="N352" s="25">
        <v>98467863</v>
      </c>
      <c r="O352" s="26">
        <v>154</v>
      </c>
      <c r="P352" t="s">
        <v>71</v>
      </c>
    </row>
    <row r="353" spans="1:16" ht="15" customHeight="1" x14ac:dyDescent="0.3">
      <c r="A353" t="s">
        <v>2000</v>
      </c>
      <c r="B353" t="s">
        <v>538</v>
      </c>
      <c r="C353" t="s">
        <v>78</v>
      </c>
      <c r="D353" t="s">
        <v>1291</v>
      </c>
      <c r="E353" t="s">
        <v>135</v>
      </c>
      <c r="F353">
        <v>7.7</v>
      </c>
      <c r="G353">
        <v>78</v>
      </c>
      <c r="H353" t="s">
        <v>2001</v>
      </c>
      <c r="I353" t="s">
        <v>1801</v>
      </c>
      <c r="J353" t="s">
        <v>2002</v>
      </c>
      <c r="K353" t="s">
        <v>2003</v>
      </c>
      <c r="L353" t="s">
        <v>2004</v>
      </c>
      <c r="M353">
        <v>214882</v>
      </c>
      <c r="N353" s="25">
        <v>83400000</v>
      </c>
      <c r="O353" s="26">
        <v>88</v>
      </c>
      <c r="P353" t="s">
        <v>135</v>
      </c>
    </row>
    <row r="354" spans="1:16" ht="15" customHeight="1" x14ac:dyDescent="0.3">
      <c r="A354" t="s">
        <v>2005</v>
      </c>
      <c r="B354" t="s">
        <v>401</v>
      </c>
      <c r="C354" t="s">
        <v>146</v>
      </c>
      <c r="D354" t="s">
        <v>839</v>
      </c>
      <c r="E354" t="s">
        <v>166</v>
      </c>
      <c r="F354">
        <v>7.8</v>
      </c>
      <c r="G354">
        <v>78</v>
      </c>
      <c r="H354" t="s">
        <v>2006</v>
      </c>
      <c r="I354" t="s">
        <v>306</v>
      </c>
      <c r="J354" t="s">
        <v>2007</v>
      </c>
      <c r="K354" t="s">
        <v>2008</v>
      </c>
      <c r="L354" t="s">
        <v>2009</v>
      </c>
      <c r="M354">
        <v>571571</v>
      </c>
      <c r="N354" s="25">
        <v>35061555</v>
      </c>
      <c r="O354" s="26">
        <v>100</v>
      </c>
      <c r="P354" t="s">
        <v>172</v>
      </c>
    </row>
    <row r="355" spans="1:16" ht="15" customHeight="1" x14ac:dyDescent="0.3">
      <c r="A355" t="s">
        <v>2010</v>
      </c>
      <c r="B355" t="s">
        <v>779</v>
      </c>
      <c r="C355" t="s">
        <v>69</v>
      </c>
      <c r="D355" t="s">
        <v>745</v>
      </c>
      <c r="E355" t="s">
        <v>2011</v>
      </c>
      <c r="F355">
        <v>7.9</v>
      </c>
      <c r="G355">
        <v>79</v>
      </c>
      <c r="H355" t="s">
        <v>2012</v>
      </c>
      <c r="I355" t="s">
        <v>2013</v>
      </c>
      <c r="J355" t="s">
        <v>2014</v>
      </c>
      <c r="K355" t="s">
        <v>2015</v>
      </c>
      <c r="L355" t="s">
        <v>2016</v>
      </c>
      <c r="M355">
        <v>85109</v>
      </c>
      <c r="N355" s="25">
        <v>3237118</v>
      </c>
      <c r="O355" s="26">
        <v>106</v>
      </c>
      <c r="P355" t="s">
        <v>135</v>
      </c>
    </row>
    <row r="356" spans="1:16" ht="15" customHeight="1" x14ac:dyDescent="0.3">
      <c r="A356" t="s">
        <v>2017</v>
      </c>
      <c r="B356" t="s">
        <v>98</v>
      </c>
      <c r="C356" t="s">
        <v>99</v>
      </c>
      <c r="D356" t="s">
        <v>287</v>
      </c>
      <c r="E356" t="s">
        <v>148</v>
      </c>
      <c r="F356">
        <v>7.9</v>
      </c>
      <c r="G356">
        <v>79</v>
      </c>
      <c r="H356" t="s">
        <v>2018</v>
      </c>
      <c r="I356" t="s">
        <v>398</v>
      </c>
      <c r="J356" t="s">
        <v>1815</v>
      </c>
      <c r="K356" t="s">
        <v>2019</v>
      </c>
      <c r="L356" t="s">
        <v>1193</v>
      </c>
      <c r="M356">
        <v>939644</v>
      </c>
      <c r="N356" s="25">
        <v>318412101</v>
      </c>
      <c r="O356" s="26">
        <v>126</v>
      </c>
      <c r="P356" t="s">
        <v>96</v>
      </c>
    </row>
    <row r="357" spans="1:16" ht="15" customHeight="1" x14ac:dyDescent="0.3">
      <c r="A357" t="s">
        <v>2020</v>
      </c>
      <c r="B357" t="s">
        <v>2021</v>
      </c>
      <c r="C357" t="s">
        <v>78</v>
      </c>
      <c r="D357" t="s">
        <v>402</v>
      </c>
      <c r="E357" t="s">
        <v>2022</v>
      </c>
      <c r="F357">
        <v>8</v>
      </c>
      <c r="G357">
        <v>79</v>
      </c>
      <c r="H357" t="s">
        <v>459</v>
      </c>
      <c r="I357" t="s">
        <v>2023</v>
      </c>
      <c r="J357" t="s">
        <v>2024</v>
      </c>
      <c r="K357" t="s">
        <v>2025</v>
      </c>
      <c r="L357" t="s">
        <v>2026</v>
      </c>
      <c r="M357">
        <v>165167</v>
      </c>
      <c r="N357" s="25">
        <v>33395426</v>
      </c>
      <c r="O357" s="26">
        <v>112</v>
      </c>
      <c r="P357" t="s">
        <v>124</v>
      </c>
    </row>
    <row r="358" spans="1:16" ht="15" customHeight="1" x14ac:dyDescent="0.3">
      <c r="A358" t="s">
        <v>2027</v>
      </c>
      <c r="B358" t="s">
        <v>547</v>
      </c>
      <c r="C358" t="s">
        <v>99</v>
      </c>
      <c r="D358" t="s">
        <v>108</v>
      </c>
      <c r="E358" t="s">
        <v>559</v>
      </c>
      <c r="F358">
        <v>7.6</v>
      </c>
      <c r="G358">
        <v>79</v>
      </c>
      <c r="H358" t="s">
        <v>2028</v>
      </c>
      <c r="I358" t="s">
        <v>291</v>
      </c>
      <c r="J358" t="s">
        <v>2029</v>
      </c>
      <c r="K358" t="s">
        <v>441</v>
      </c>
      <c r="L358" t="s">
        <v>2030</v>
      </c>
      <c r="M358">
        <v>411599</v>
      </c>
      <c r="N358" s="25">
        <v>208545589</v>
      </c>
      <c r="O358" s="26">
        <v>130</v>
      </c>
      <c r="P358" t="s">
        <v>96</v>
      </c>
    </row>
    <row r="359" spans="1:16" ht="15" customHeight="1" x14ac:dyDescent="0.3">
      <c r="A359" t="s">
        <v>2031</v>
      </c>
      <c r="B359" t="s">
        <v>87</v>
      </c>
      <c r="C359" t="s">
        <v>69</v>
      </c>
      <c r="D359" t="s">
        <v>341</v>
      </c>
      <c r="E359" t="s">
        <v>71</v>
      </c>
      <c r="F359">
        <v>7.6</v>
      </c>
      <c r="G359">
        <v>79</v>
      </c>
      <c r="H359" t="s">
        <v>2032</v>
      </c>
      <c r="I359" t="s">
        <v>2033</v>
      </c>
      <c r="J359" t="s">
        <v>2034</v>
      </c>
      <c r="K359" t="s">
        <v>2035</v>
      </c>
      <c r="L359" t="s">
        <v>2036</v>
      </c>
      <c r="M359">
        <v>41544</v>
      </c>
      <c r="N359" s="25">
        <v>9422422</v>
      </c>
      <c r="O359" s="26">
        <v>104</v>
      </c>
      <c r="P359" t="s">
        <v>71</v>
      </c>
    </row>
    <row r="360" spans="1:16" ht="15" customHeight="1" x14ac:dyDescent="0.3">
      <c r="A360" t="s">
        <v>2037</v>
      </c>
      <c r="B360" t="s">
        <v>547</v>
      </c>
      <c r="C360" t="s">
        <v>146</v>
      </c>
      <c r="D360" t="s">
        <v>1023</v>
      </c>
      <c r="E360" t="s">
        <v>718</v>
      </c>
      <c r="F360">
        <v>8.1</v>
      </c>
      <c r="G360">
        <v>79</v>
      </c>
      <c r="H360" t="s">
        <v>602</v>
      </c>
      <c r="I360" t="s">
        <v>1212</v>
      </c>
      <c r="J360" t="s">
        <v>2038</v>
      </c>
      <c r="K360" t="s">
        <v>2039</v>
      </c>
      <c r="L360" t="s">
        <v>2040</v>
      </c>
      <c r="M360">
        <v>859695</v>
      </c>
      <c r="N360" s="25">
        <v>167767189</v>
      </c>
      <c r="O360" s="26">
        <v>149</v>
      </c>
      <c r="P360" t="s">
        <v>71</v>
      </c>
    </row>
    <row r="361" spans="1:16" ht="15" customHeight="1" x14ac:dyDescent="0.3">
      <c r="A361" t="s">
        <v>2041</v>
      </c>
      <c r="B361" t="s">
        <v>126</v>
      </c>
      <c r="C361" t="s">
        <v>99</v>
      </c>
      <c r="D361" t="s">
        <v>496</v>
      </c>
      <c r="E361" t="s">
        <v>199</v>
      </c>
      <c r="F361">
        <v>7.8</v>
      </c>
      <c r="G361">
        <v>79</v>
      </c>
      <c r="H361" t="s">
        <v>2042</v>
      </c>
      <c r="I361" t="s">
        <v>2043</v>
      </c>
      <c r="J361" t="s">
        <v>590</v>
      </c>
      <c r="K361" t="s">
        <v>2044</v>
      </c>
      <c r="L361" t="s">
        <v>1174</v>
      </c>
      <c r="M361">
        <v>340584</v>
      </c>
      <c r="N361" s="25">
        <v>93617009</v>
      </c>
      <c r="O361" s="26">
        <v>116</v>
      </c>
      <c r="P361" t="s">
        <v>204</v>
      </c>
    </row>
    <row r="362" spans="1:16" ht="15" customHeight="1" x14ac:dyDescent="0.3">
      <c r="A362" t="s">
        <v>2045</v>
      </c>
      <c r="B362" t="s">
        <v>294</v>
      </c>
      <c r="C362" t="s">
        <v>88</v>
      </c>
      <c r="D362" t="s">
        <v>190</v>
      </c>
      <c r="E362" t="s">
        <v>191</v>
      </c>
      <c r="F362">
        <v>7.8</v>
      </c>
      <c r="G362">
        <v>79</v>
      </c>
      <c r="H362" t="s">
        <v>2046</v>
      </c>
      <c r="I362" t="s">
        <v>2047</v>
      </c>
      <c r="J362" t="s">
        <v>734</v>
      </c>
      <c r="K362" t="s">
        <v>2048</v>
      </c>
      <c r="L362" t="s">
        <v>2049</v>
      </c>
      <c r="M362">
        <v>52758</v>
      </c>
      <c r="N362" s="25">
        <v>547292</v>
      </c>
      <c r="O362" s="26">
        <v>129</v>
      </c>
      <c r="P362" t="s">
        <v>172</v>
      </c>
    </row>
    <row r="363" spans="1:16" ht="15" customHeight="1" x14ac:dyDescent="0.3">
      <c r="A363" t="s">
        <v>2050</v>
      </c>
      <c r="B363" t="s">
        <v>68</v>
      </c>
      <c r="C363" t="s">
        <v>78</v>
      </c>
      <c r="D363" t="s">
        <v>819</v>
      </c>
      <c r="E363" t="s">
        <v>1241</v>
      </c>
      <c r="F363">
        <v>8.1</v>
      </c>
      <c r="G363">
        <v>79</v>
      </c>
      <c r="H363" t="s">
        <v>2051</v>
      </c>
      <c r="I363" t="s">
        <v>2052</v>
      </c>
      <c r="J363" t="s">
        <v>2053</v>
      </c>
      <c r="K363" t="s">
        <v>1737</v>
      </c>
      <c r="L363" t="s">
        <v>1116</v>
      </c>
      <c r="M363">
        <v>815505</v>
      </c>
      <c r="N363" s="25">
        <v>289916256</v>
      </c>
      <c r="O363" s="26">
        <v>92</v>
      </c>
      <c r="P363" t="s">
        <v>572</v>
      </c>
    </row>
    <row r="364" spans="1:16" ht="15" customHeight="1" x14ac:dyDescent="0.3">
      <c r="A364" t="s">
        <v>2054</v>
      </c>
      <c r="B364" t="s">
        <v>180</v>
      </c>
      <c r="C364" t="s">
        <v>78</v>
      </c>
      <c r="D364" t="s">
        <v>2055</v>
      </c>
      <c r="E364" t="s">
        <v>1057</v>
      </c>
      <c r="F364">
        <v>8</v>
      </c>
      <c r="G364">
        <v>79</v>
      </c>
      <c r="H364" t="s">
        <v>1015</v>
      </c>
      <c r="I364" t="s">
        <v>318</v>
      </c>
      <c r="J364" t="s">
        <v>2056</v>
      </c>
      <c r="K364" t="s">
        <v>2057</v>
      </c>
      <c r="L364" t="s">
        <v>2058</v>
      </c>
      <c r="M364">
        <v>217664</v>
      </c>
      <c r="N364" s="25">
        <v>52767889</v>
      </c>
      <c r="O364" s="26">
        <v>191</v>
      </c>
      <c r="P364" t="s">
        <v>204</v>
      </c>
    </row>
    <row r="365" spans="1:16" ht="15" customHeight="1" x14ac:dyDescent="0.3">
      <c r="A365" t="s">
        <v>2059</v>
      </c>
      <c r="B365" t="s">
        <v>145</v>
      </c>
      <c r="C365" t="s">
        <v>78</v>
      </c>
      <c r="D365" t="s">
        <v>396</v>
      </c>
      <c r="E365" t="s">
        <v>668</v>
      </c>
      <c r="F365">
        <v>8</v>
      </c>
      <c r="G365">
        <v>79</v>
      </c>
      <c r="H365" t="s">
        <v>1947</v>
      </c>
      <c r="I365" t="s">
        <v>2060</v>
      </c>
      <c r="J365" t="s">
        <v>2061</v>
      </c>
      <c r="K365" t="s">
        <v>2062</v>
      </c>
      <c r="L365" t="s">
        <v>2063</v>
      </c>
      <c r="M365">
        <v>64722</v>
      </c>
      <c r="N365" s="25">
        <v>3333969</v>
      </c>
      <c r="O365" s="26">
        <v>128</v>
      </c>
      <c r="P365" t="s">
        <v>71</v>
      </c>
    </row>
    <row r="366" spans="1:16" ht="15" customHeight="1" x14ac:dyDescent="0.3">
      <c r="A366" t="s">
        <v>2064</v>
      </c>
      <c r="B366" t="s">
        <v>434</v>
      </c>
      <c r="C366" t="s">
        <v>78</v>
      </c>
      <c r="D366" t="s">
        <v>786</v>
      </c>
      <c r="E366" t="s">
        <v>427</v>
      </c>
      <c r="F366">
        <v>7.9</v>
      </c>
      <c r="G366">
        <v>79</v>
      </c>
      <c r="H366" t="s">
        <v>2065</v>
      </c>
      <c r="I366" t="s">
        <v>2066</v>
      </c>
      <c r="J366" t="s">
        <v>1760</v>
      </c>
      <c r="K366" t="s">
        <v>2067</v>
      </c>
      <c r="L366" t="s">
        <v>2068</v>
      </c>
      <c r="M366">
        <v>580708</v>
      </c>
      <c r="N366" s="25">
        <v>124987023</v>
      </c>
      <c r="O366" s="26">
        <v>127</v>
      </c>
      <c r="P366" t="s">
        <v>124</v>
      </c>
    </row>
    <row r="367" spans="1:16" ht="15" customHeight="1" x14ac:dyDescent="0.3">
      <c r="A367" t="s">
        <v>2069</v>
      </c>
      <c r="B367" t="s">
        <v>863</v>
      </c>
      <c r="C367" t="s">
        <v>146</v>
      </c>
      <c r="D367" t="s">
        <v>79</v>
      </c>
      <c r="E367" t="s">
        <v>71</v>
      </c>
      <c r="F367">
        <v>7.8</v>
      </c>
      <c r="G367">
        <v>79</v>
      </c>
      <c r="H367" t="s">
        <v>2070</v>
      </c>
      <c r="I367" t="s">
        <v>461</v>
      </c>
      <c r="J367" t="s">
        <v>1791</v>
      </c>
      <c r="K367" t="s">
        <v>2071</v>
      </c>
      <c r="L367" t="s">
        <v>2072</v>
      </c>
      <c r="M367">
        <v>101124</v>
      </c>
      <c r="N367" s="25">
        <v>44785053</v>
      </c>
      <c r="O367" s="26">
        <v>113</v>
      </c>
      <c r="P367" t="s">
        <v>71</v>
      </c>
    </row>
    <row r="368" spans="1:16" ht="15" customHeight="1" x14ac:dyDescent="0.3">
      <c r="A368" t="s">
        <v>2073</v>
      </c>
      <c r="B368" t="s">
        <v>126</v>
      </c>
      <c r="C368" t="s">
        <v>146</v>
      </c>
      <c r="D368" t="s">
        <v>418</v>
      </c>
      <c r="E368" t="s">
        <v>525</v>
      </c>
      <c r="F368">
        <v>8</v>
      </c>
      <c r="G368">
        <v>79</v>
      </c>
      <c r="H368" t="s">
        <v>1085</v>
      </c>
      <c r="I368" t="s">
        <v>653</v>
      </c>
      <c r="J368" t="s">
        <v>2074</v>
      </c>
      <c r="K368" t="s">
        <v>2075</v>
      </c>
      <c r="L368" t="s">
        <v>1073</v>
      </c>
      <c r="M368">
        <v>699673</v>
      </c>
      <c r="N368" s="25">
        <v>106954678</v>
      </c>
      <c r="O368" s="26">
        <v>108</v>
      </c>
      <c r="P368" t="s">
        <v>71</v>
      </c>
    </row>
    <row r="369" spans="1:16" ht="15" customHeight="1" x14ac:dyDescent="0.3">
      <c r="A369" t="s">
        <v>2076</v>
      </c>
      <c r="B369" t="s">
        <v>779</v>
      </c>
      <c r="C369" t="s">
        <v>78</v>
      </c>
      <c r="D369" t="s">
        <v>745</v>
      </c>
      <c r="E369" t="s">
        <v>2077</v>
      </c>
      <c r="F369">
        <v>8.4</v>
      </c>
      <c r="G369">
        <v>79</v>
      </c>
      <c r="H369" t="s">
        <v>2078</v>
      </c>
      <c r="I369" t="s">
        <v>2079</v>
      </c>
      <c r="J369" t="s">
        <v>2080</v>
      </c>
      <c r="K369" t="s">
        <v>2081</v>
      </c>
      <c r="L369" t="s">
        <v>2082</v>
      </c>
      <c r="M369">
        <v>194838</v>
      </c>
      <c r="N369" s="25">
        <v>5017246</v>
      </c>
      <c r="O369" s="26">
        <v>106</v>
      </c>
      <c r="P369" t="s">
        <v>572</v>
      </c>
    </row>
    <row r="370" spans="1:16" ht="15" customHeight="1" x14ac:dyDescent="0.3">
      <c r="A370" t="s">
        <v>2083</v>
      </c>
      <c r="B370" t="s">
        <v>417</v>
      </c>
      <c r="C370" t="s">
        <v>78</v>
      </c>
      <c r="D370" t="s">
        <v>396</v>
      </c>
      <c r="E370" t="s">
        <v>905</v>
      </c>
      <c r="F370">
        <v>8.1</v>
      </c>
      <c r="G370">
        <v>79</v>
      </c>
      <c r="H370" t="s">
        <v>2084</v>
      </c>
      <c r="I370" t="s">
        <v>1211</v>
      </c>
      <c r="J370" t="s">
        <v>2085</v>
      </c>
      <c r="K370" t="s">
        <v>630</v>
      </c>
      <c r="L370" t="s">
        <v>2086</v>
      </c>
      <c r="M370">
        <v>425457</v>
      </c>
      <c r="N370" s="25">
        <v>95860116</v>
      </c>
      <c r="O370" s="26">
        <v>128</v>
      </c>
      <c r="P370" t="s">
        <v>135</v>
      </c>
    </row>
    <row r="371" spans="1:16" ht="15" customHeight="1" x14ac:dyDescent="0.3">
      <c r="A371" t="s">
        <v>2087</v>
      </c>
      <c r="B371" t="s">
        <v>389</v>
      </c>
      <c r="C371" t="s">
        <v>146</v>
      </c>
      <c r="D371" t="s">
        <v>108</v>
      </c>
      <c r="E371" t="s">
        <v>166</v>
      </c>
      <c r="F371">
        <v>8.6</v>
      </c>
      <c r="G371">
        <v>79</v>
      </c>
      <c r="H371" t="s">
        <v>2088</v>
      </c>
      <c r="I371" t="s">
        <v>2089</v>
      </c>
      <c r="J371" t="s">
        <v>2090</v>
      </c>
      <c r="K371" t="s">
        <v>2091</v>
      </c>
      <c r="L371" t="s">
        <v>2092</v>
      </c>
      <c r="M371">
        <v>699256</v>
      </c>
      <c r="N371" s="25">
        <v>7563397</v>
      </c>
      <c r="O371" s="26">
        <v>130</v>
      </c>
      <c r="P371" t="s">
        <v>172</v>
      </c>
    </row>
    <row r="372" spans="1:16" ht="15" customHeight="1" x14ac:dyDescent="0.3">
      <c r="A372" t="s">
        <v>2093</v>
      </c>
      <c r="B372" t="s">
        <v>145</v>
      </c>
      <c r="C372" t="s">
        <v>146</v>
      </c>
      <c r="D372" t="s">
        <v>478</v>
      </c>
      <c r="E372" t="s">
        <v>223</v>
      </c>
      <c r="F372">
        <v>7.9</v>
      </c>
      <c r="G372">
        <v>79</v>
      </c>
      <c r="H372" t="s">
        <v>801</v>
      </c>
      <c r="I372" t="s">
        <v>1359</v>
      </c>
      <c r="J372" t="s">
        <v>330</v>
      </c>
      <c r="K372" t="s">
        <v>225</v>
      </c>
      <c r="L372" t="s">
        <v>2094</v>
      </c>
      <c r="M372">
        <v>281842</v>
      </c>
      <c r="N372" s="25">
        <v>76270454</v>
      </c>
      <c r="O372" s="26">
        <v>119</v>
      </c>
      <c r="P372" t="s">
        <v>172</v>
      </c>
    </row>
    <row r="373" spans="1:16" ht="15" customHeight="1" x14ac:dyDescent="0.3">
      <c r="A373" t="s">
        <v>2095</v>
      </c>
      <c r="B373" t="s">
        <v>77</v>
      </c>
      <c r="C373" t="s">
        <v>69</v>
      </c>
      <c r="D373" t="s">
        <v>484</v>
      </c>
      <c r="E373" t="s">
        <v>1057</v>
      </c>
      <c r="F373">
        <v>8.1</v>
      </c>
      <c r="G373">
        <v>79</v>
      </c>
      <c r="H373" t="s">
        <v>2096</v>
      </c>
      <c r="I373" t="s">
        <v>902</v>
      </c>
      <c r="J373" t="s">
        <v>2097</v>
      </c>
      <c r="K373" t="s">
        <v>492</v>
      </c>
      <c r="L373" t="s">
        <v>2098</v>
      </c>
      <c r="M373">
        <v>334320</v>
      </c>
      <c r="N373" s="25">
        <v>23530892</v>
      </c>
      <c r="O373" s="26">
        <v>121</v>
      </c>
      <c r="P373" t="s">
        <v>204</v>
      </c>
    </row>
    <row r="374" spans="1:16" ht="15" customHeight="1" x14ac:dyDescent="0.3">
      <c r="A374" t="s">
        <v>2099</v>
      </c>
      <c r="B374" t="s">
        <v>502</v>
      </c>
      <c r="C374" t="s">
        <v>88</v>
      </c>
      <c r="D374" t="s">
        <v>886</v>
      </c>
      <c r="E374" t="s">
        <v>223</v>
      </c>
      <c r="F374">
        <v>8.3000000000000007</v>
      </c>
      <c r="G374">
        <v>79</v>
      </c>
      <c r="H374" t="s">
        <v>1003</v>
      </c>
      <c r="I374" t="s">
        <v>2100</v>
      </c>
      <c r="J374" t="s">
        <v>444</v>
      </c>
      <c r="K374" t="s">
        <v>1147</v>
      </c>
      <c r="L374" t="s">
        <v>2101</v>
      </c>
      <c r="M374">
        <v>918562</v>
      </c>
      <c r="N374" s="25">
        <v>2832029</v>
      </c>
      <c r="O374" s="26">
        <v>99</v>
      </c>
      <c r="P374" t="s">
        <v>172</v>
      </c>
    </row>
    <row r="375" spans="1:16" ht="15" customHeight="1" x14ac:dyDescent="0.3">
      <c r="A375" t="s">
        <v>2102</v>
      </c>
      <c r="B375" t="s">
        <v>164</v>
      </c>
      <c r="C375" t="s">
        <v>88</v>
      </c>
      <c r="D375" t="s">
        <v>1936</v>
      </c>
      <c r="E375" t="s">
        <v>905</v>
      </c>
      <c r="F375">
        <v>7.7</v>
      </c>
      <c r="G375">
        <v>79</v>
      </c>
      <c r="H375" t="s">
        <v>2103</v>
      </c>
      <c r="I375" t="s">
        <v>1424</v>
      </c>
      <c r="J375" t="s">
        <v>1939</v>
      </c>
      <c r="K375" t="s">
        <v>2104</v>
      </c>
      <c r="L375" t="s">
        <v>2105</v>
      </c>
      <c r="M375">
        <v>42275</v>
      </c>
      <c r="N375" s="25">
        <v>6110979</v>
      </c>
      <c r="O375" s="26">
        <v>188</v>
      </c>
      <c r="P375" t="s">
        <v>135</v>
      </c>
    </row>
    <row r="376" spans="1:16" ht="15" customHeight="1" x14ac:dyDescent="0.3">
      <c r="A376" t="s">
        <v>2106</v>
      </c>
      <c r="B376" t="s">
        <v>797</v>
      </c>
      <c r="C376" t="s">
        <v>78</v>
      </c>
      <c r="D376" t="s">
        <v>924</v>
      </c>
      <c r="E376" t="s">
        <v>301</v>
      </c>
      <c r="F376">
        <v>8.5</v>
      </c>
      <c r="G376">
        <v>80</v>
      </c>
      <c r="H376" t="s">
        <v>216</v>
      </c>
      <c r="I376" t="s">
        <v>2107</v>
      </c>
      <c r="J376" t="s">
        <v>2108</v>
      </c>
      <c r="K376" t="s">
        <v>2109</v>
      </c>
      <c r="L376" t="s">
        <v>2110</v>
      </c>
      <c r="M376">
        <v>230763</v>
      </c>
      <c r="N376" s="25">
        <v>11990401</v>
      </c>
      <c r="O376" s="26">
        <v>155</v>
      </c>
      <c r="P376" t="s">
        <v>71</v>
      </c>
    </row>
    <row r="377" spans="1:16" ht="15" customHeight="1" x14ac:dyDescent="0.3">
      <c r="A377" t="s">
        <v>2111</v>
      </c>
      <c r="B377" t="s">
        <v>749</v>
      </c>
      <c r="C377" t="s">
        <v>146</v>
      </c>
      <c r="D377" t="s">
        <v>2112</v>
      </c>
      <c r="E377" t="s">
        <v>71</v>
      </c>
      <c r="F377">
        <v>9.3000000000000007</v>
      </c>
      <c r="G377">
        <v>80</v>
      </c>
      <c r="H377" t="s">
        <v>577</v>
      </c>
      <c r="I377" t="s">
        <v>2104</v>
      </c>
      <c r="J377" t="s">
        <v>319</v>
      </c>
      <c r="K377" t="s">
        <v>2113</v>
      </c>
      <c r="L377" t="s">
        <v>2114</v>
      </c>
      <c r="M377">
        <v>2343110</v>
      </c>
      <c r="N377" s="25">
        <v>28341469</v>
      </c>
      <c r="O377" s="26">
        <v>142</v>
      </c>
      <c r="P377" t="s">
        <v>71</v>
      </c>
    </row>
    <row r="378" spans="1:16" ht="15" customHeight="1" x14ac:dyDescent="0.3">
      <c r="A378" t="s">
        <v>2115</v>
      </c>
      <c r="B378" t="s">
        <v>270</v>
      </c>
      <c r="C378" t="s">
        <v>69</v>
      </c>
      <c r="D378" t="s">
        <v>239</v>
      </c>
      <c r="E378" t="s">
        <v>466</v>
      </c>
      <c r="F378">
        <v>8</v>
      </c>
      <c r="G378">
        <v>80</v>
      </c>
      <c r="H378" t="s">
        <v>2116</v>
      </c>
      <c r="I378" t="s">
        <v>1252</v>
      </c>
      <c r="J378" t="s">
        <v>2117</v>
      </c>
      <c r="K378" t="s">
        <v>1856</v>
      </c>
      <c r="L378" t="s">
        <v>2118</v>
      </c>
      <c r="M378">
        <v>582239</v>
      </c>
      <c r="N378" s="25">
        <v>167445960</v>
      </c>
      <c r="O378" s="26">
        <v>144</v>
      </c>
      <c r="P378" t="s">
        <v>96</v>
      </c>
    </row>
    <row r="379" spans="1:16" ht="15" customHeight="1" x14ac:dyDescent="0.3">
      <c r="A379" t="s">
        <v>2119</v>
      </c>
      <c r="B379" t="s">
        <v>116</v>
      </c>
      <c r="C379" t="s">
        <v>88</v>
      </c>
      <c r="D379" t="s">
        <v>315</v>
      </c>
      <c r="E379" t="s">
        <v>71</v>
      </c>
      <c r="F379">
        <v>8</v>
      </c>
      <c r="G379">
        <v>80</v>
      </c>
      <c r="H379" t="s">
        <v>1691</v>
      </c>
      <c r="I379" t="s">
        <v>2120</v>
      </c>
      <c r="J379" t="s">
        <v>2121</v>
      </c>
      <c r="K379" t="s">
        <v>2122</v>
      </c>
      <c r="L379" t="s">
        <v>2123</v>
      </c>
      <c r="M379">
        <v>36419</v>
      </c>
      <c r="N379" s="25">
        <v>5595428</v>
      </c>
      <c r="O379" s="26">
        <v>110</v>
      </c>
      <c r="P379" t="s">
        <v>71</v>
      </c>
    </row>
    <row r="380" spans="1:16" ht="15" customHeight="1" x14ac:dyDescent="0.3">
      <c r="A380" t="s">
        <v>2124</v>
      </c>
      <c r="B380" t="s">
        <v>1001</v>
      </c>
      <c r="C380" t="s">
        <v>99</v>
      </c>
      <c r="D380" t="s">
        <v>239</v>
      </c>
      <c r="E380" t="s">
        <v>1637</v>
      </c>
      <c r="F380">
        <v>8</v>
      </c>
      <c r="G380">
        <v>80</v>
      </c>
      <c r="H380" t="s">
        <v>925</v>
      </c>
      <c r="I380" t="s">
        <v>997</v>
      </c>
      <c r="J380" t="s">
        <v>1640</v>
      </c>
      <c r="K380" t="s">
        <v>2125</v>
      </c>
      <c r="L380" t="s">
        <v>2126</v>
      </c>
      <c r="M380">
        <v>760094</v>
      </c>
      <c r="N380" s="25">
        <v>228433663</v>
      </c>
      <c r="O380" s="26">
        <v>144</v>
      </c>
      <c r="P380" t="s">
        <v>124</v>
      </c>
    </row>
    <row r="381" spans="1:16" ht="15" customHeight="1" x14ac:dyDescent="0.3">
      <c r="A381" t="s">
        <v>2127</v>
      </c>
      <c r="B381" t="s">
        <v>98</v>
      </c>
      <c r="C381" t="s">
        <v>99</v>
      </c>
      <c r="D381" t="s">
        <v>410</v>
      </c>
      <c r="E381" t="s">
        <v>109</v>
      </c>
      <c r="F381">
        <v>7.9</v>
      </c>
      <c r="G381">
        <v>80</v>
      </c>
      <c r="H381" t="s">
        <v>1085</v>
      </c>
      <c r="I381" t="s">
        <v>1623</v>
      </c>
      <c r="J381" t="s">
        <v>1035</v>
      </c>
      <c r="K381" t="s">
        <v>2128</v>
      </c>
      <c r="L381" t="s">
        <v>2129</v>
      </c>
      <c r="M381">
        <v>289415</v>
      </c>
      <c r="N381" s="25">
        <v>26236603</v>
      </c>
      <c r="O381" s="26">
        <v>109</v>
      </c>
      <c r="P381" t="s">
        <v>71</v>
      </c>
    </row>
    <row r="382" spans="1:16" ht="15" customHeight="1" x14ac:dyDescent="0.3">
      <c r="A382" t="s">
        <v>2130</v>
      </c>
      <c r="B382" t="s">
        <v>164</v>
      </c>
      <c r="C382" t="s">
        <v>88</v>
      </c>
      <c r="D382" t="s">
        <v>484</v>
      </c>
      <c r="E382" t="s">
        <v>479</v>
      </c>
      <c r="F382">
        <v>7.8</v>
      </c>
      <c r="G382">
        <v>80</v>
      </c>
      <c r="H382" t="s">
        <v>225</v>
      </c>
      <c r="I382" t="s">
        <v>225</v>
      </c>
      <c r="J382" t="s">
        <v>1916</v>
      </c>
      <c r="K382" t="s">
        <v>2131</v>
      </c>
      <c r="L382" t="s">
        <v>2132</v>
      </c>
      <c r="M382">
        <v>128171</v>
      </c>
      <c r="N382" s="25">
        <v>17266971</v>
      </c>
      <c r="O382" s="26">
        <v>121</v>
      </c>
      <c r="P382" t="s">
        <v>172</v>
      </c>
    </row>
    <row r="383" spans="1:16" ht="15" customHeight="1" x14ac:dyDescent="0.3">
      <c r="A383" t="s">
        <v>2133</v>
      </c>
      <c r="B383" t="s">
        <v>1527</v>
      </c>
      <c r="C383" t="s">
        <v>146</v>
      </c>
      <c r="D383" t="s">
        <v>745</v>
      </c>
      <c r="E383" t="s">
        <v>135</v>
      </c>
      <c r="F383">
        <v>8</v>
      </c>
      <c r="G383">
        <v>80</v>
      </c>
      <c r="H383" t="s">
        <v>1529</v>
      </c>
      <c r="I383" t="s">
        <v>989</v>
      </c>
      <c r="J383" t="s">
        <v>1906</v>
      </c>
      <c r="K383" t="s">
        <v>2134</v>
      </c>
      <c r="L383" t="s">
        <v>2135</v>
      </c>
      <c r="M383">
        <v>143359</v>
      </c>
      <c r="N383" s="25">
        <v>86300000</v>
      </c>
      <c r="O383" s="26">
        <v>106</v>
      </c>
      <c r="P383" t="s">
        <v>135</v>
      </c>
    </row>
    <row r="384" spans="1:16" ht="15" customHeight="1" x14ac:dyDescent="0.3">
      <c r="A384" t="s">
        <v>2136</v>
      </c>
      <c r="B384" t="s">
        <v>206</v>
      </c>
      <c r="C384" t="s">
        <v>99</v>
      </c>
      <c r="D384" t="s">
        <v>117</v>
      </c>
      <c r="E384" t="s">
        <v>1549</v>
      </c>
      <c r="F384">
        <v>7.6</v>
      </c>
      <c r="G384">
        <v>80</v>
      </c>
      <c r="H384" t="s">
        <v>2137</v>
      </c>
      <c r="I384" t="s">
        <v>2138</v>
      </c>
      <c r="J384" t="s">
        <v>2139</v>
      </c>
      <c r="K384" t="s">
        <v>2140</v>
      </c>
      <c r="L384" t="s">
        <v>2141</v>
      </c>
      <c r="M384">
        <v>250057</v>
      </c>
      <c r="N384" s="25">
        <v>608581744</v>
      </c>
      <c r="O384" s="26">
        <v>118</v>
      </c>
      <c r="P384" t="s">
        <v>572</v>
      </c>
    </row>
    <row r="385" spans="1:16" ht="15" customHeight="1" x14ac:dyDescent="0.3">
      <c r="A385" t="s">
        <v>2142</v>
      </c>
      <c r="B385" t="s">
        <v>270</v>
      </c>
      <c r="C385" t="s">
        <v>99</v>
      </c>
      <c r="D385" t="s">
        <v>360</v>
      </c>
      <c r="E385" t="s">
        <v>905</v>
      </c>
      <c r="F385">
        <v>7.8</v>
      </c>
      <c r="G385">
        <v>80</v>
      </c>
      <c r="H385" t="s">
        <v>2143</v>
      </c>
      <c r="I385" t="s">
        <v>2144</v>
      </c>
      <c r="J385" t="s">
        <v>1354</v>
      </c>
      <c r="K385" t="s">
        <v>721</v>
      </c>
      <c r="L385" t="s">
        <v>975</v>
      </c>
      <c r="M385">
        <v>439856</v>
      </c>
      <c r="N385" s="25">
        <v>59891098</v>
      </c>
      <c r="O385" s="26">
        <v>101</v>
      </c>
      <c r="P385" t="s">
        <v>135</v>
      </c>
    </row>
    <row r="386" spans="1:16" ht="15" customHeight="1" x14ac:dyDescent="0.3">
      <c r="A386" t="s">
        <v>2145</v>
      </c>
      <c r="B386" t="s">
        <v>107</v>
      </c>
      <c r="C386" t="s">
        <v>88</v>
      </c>
      <c r="D386" t="s">
        <v>271</v>
      </c>
      <c r="E386" t="s">
        <v>713</v>
      </c>
      <c r="F386">
        <v>8</v>
      </c>
      <c r="G386">
        <v>80</v>
      </c>
      <c r="H386" t="s">
        <v>2146</v>
      </c>
      <c r="I386" t="s">
        <v>1638</v>
      </c>
      <c r="J386" t="s">
        <v>2147</v>
      </c>
      <c r="K386" t="s">
        <v>631</v>
      </c>
      <c r="L386" t="s">
        <v>2148</v>
      </c>
      <c r="M386">
        <v>441614</v>
      </c>
      <c r="N386" s="25">
        <v>27298285</v>
      </c>
      <c r="O386" s="26">
        <v>117</v>
      </c>
      <c r="P386" t="s">
        <v>204</v>
      </c>
    </row>
    <row r="387" spans="1:16" ht="15" customHeight="1" x14ac:dyDescent="0.3">
      <c r="A387" t="s">
        <v>2149</v>
      </c>
      <c r="B387" t="s">
        <v>198</v>
      </c>
      <c r="C387" t="s">
        <v>88</v>
      </c>
      <c r="D387" t="s">
        <v>642</v>
      </c>
      <c r="E387" t="s">
        <v>223</v>
      </c>
      <c r="F387">
        <v>7.9</v>
      </c>
      <c r="G387">
        <v>80</v>
      </c>
      <c r="H387" t="s">
        <v>2150</v>
      </c>
      <c r="I387" t="s">
        <v>2151</v>
      </c>
      <c r="J387" t="s">
        <v>2152</v>
      </c>
      <c r="K387" t="s">
        <v>2153</v>
      </c>
      <c r="L387" t="s">
        <v>2154</v>
      </c>
      <c r="M387">
        <v>49721</v>
      </c>
      <c r="N387" s="25">
        <v>1221261</v>
      </c>
      <c r="O387" s="26">
        <v>114</v>
      </c>
      <c r="P387" t="s">
        <v>172</v>
      </c>
    </row>
    <row r="388" spans="1:16" ht="15" customHeight="1" x14ac:dyDescent="0.3">
      <c r="A388" t="s">
        <v>2155</v>
      </c>
      <c r="B388" t="s">
        <v>126</v>
      </c>
      <c r="C388" t="s">
        <v>88</v>
      </c>
      <c r="D388" t="s">
        <v>215</v>
      </c>
      <c r="E388" t="s">
        <v>2156</v>
      </c>
      <c r="F388">
        <v>8.3000000000000007</v>
      </c>
      <c r="G388">
        <v>80</v>
      </c>
      <c r="H388" t="s">
        <v>1173</v>
      </c>
      <c r="I388" t="s">
        <v>2157</v>
      </c>
      <c r="J388" t="s">
        <v>2158</v>
      </c>
      <c r="K388" t="s">
        <v>2159</v>
      </c>
      <c r="L388" t="s">
        <v>2160</v>
      </c>
      <c r="M388">
        <v>150023</v>
      </c>
      <c r="N388" s="25">
        <v>6857096</v>
      </c>
      <c r="O388" s="26">
        <v>131</v>
      </c>
      <c r="P388" t="s">
        <v>71</v>
      </c>
    </row>
    <row r="389" spans="1:16" ht="15" customHeight="1" x14ac:dyDescent="0.3">
      <c r="A389" t="s">
        <v>2161</v>
      </c>
      <c r="B389" t="s">
        <v>294</v>
      </c>
      <c r="C389" t="s">
        <v>78</v>
      </c>
      <c r="D389" t="s">
        <v>839</v>
      </c>
      <c r="E389" t="s">
        <v>1410</v>
      </c>
      <c r="F389">
        <v>7.7</v>
      </c>
      <c r="G389">
        <v>80</v>
      </c>
      <c r="H389" t="s">
        <v>2162</v>
      </c>
      <c r="I389" t="s">
        <v>74</v>
      </c>
      <c r="J389" t="s">
        <v>2163</v>
      </c>
      <c r="K389" t="s">
        <v>2164</v>
      </c>
      <c r="L389" t="s">
        <v>2165</v>
      </c>
      <c r="M389">
        <v>197761</v>
      </c>
      <c r="N389" s="25">
        <v>75286229</v>
      </c>
      <c r="O389" s="26">
        <v>100</v>
      </c>
      <c r="P389" t="s">
        <v>572</v>
      </c>
    </row>
    <row r="390" spans="1:16" ht="15" customHeight="1" x14ac:dyDescent="0.3">
      <c r="A390" t="s">
        <v>2166</v>
      </c>
      <c r="B390" t="s">
        <v>457</v>
      </c>
      <c r="C390" t="s">
        <v>146</v>
      </c>
      <c r="D390" t="s">
        <v>681</v>
      </c>
      <c r="E390" t="s">
        <v>223</v>
      </c>
      <c r="F390">
        <v>7.8</v>
      </c>
      <c r="G390">
        <v>80</v>
      </c>
      <c r="H390" t="s">
        <v>1345</v>
      </c>
      <c r="I390" t="s">
        <v>2167</v>
      </c>
      <c r="J390" t="s">
        <v>2168</v>
      </c>
      <c r="K390" t="s">
        <v>2169</v>
      </c>
      <c r="L390" t="s">
        <v>2170</v>
      </c>
      <c r="M390">
        <v>37445</v>
      </c>
      <c r="N390" s="25">
        <v>16056255</v>
      </c>
      <c r="O390" s="26">
        <v>143</v>
      </c>
      <c r="P390" t="s">
        <v>172</v>
      </c>
    </row>
    <row r="391" spans="1:16" ht="15" customHeight="1" x14ac:dyDescent="0.3">
      <c r="A391" t="s">
        <v>2171</v>
      </c>
      <c r="B391" t="s">
        <v>77</v>
      </c>
      <c r="C391" t="s">
        <v>78</v>
      </c>
      <c r="D391" t="s">
        <v>478</v>
      </c>
      <c r="E391" t="s">
        <v>772</v>
      </c>
      <c r="F391">
        <v>8.1999999999999993</v>
      </c>
      <c r="G391">
        <v>80</v>
      </c>
      <c r="H391" t="s">
        <v>1785</v>
      </c>
      <c r="I391" t="s">
        <v>2172</v>
      </c>
      <c r="J391" t="s">
        <v>2173</v>
      </c>
      <c r="K391" t="s">
        <v>2174</v>
      </c>
      <c r="L391" t="s">
        <v>2175</v>
      </c>
      <c r="M391">
        <v>333915</v>
      </c>
      <c r="N391" s="25">
        <v>4711096</v>
      </c>
      <c r="O391" s="26">
        <v>119</v>
      </c>
      <c r="P391" t="s">
        <v>572</v>
      </c>
    </row>
    <row r="392" spans="1:16" ht="15" customHeight="1" x14ac:dyDescent="0.3">
      <c r="A392" t="s">
        <v>2176</v>
      </c>
      <c r="B392" t="s">
        <v>126</v>
      </c>
      <c r="C392" t="s">
        <v>69</v>
      </c>
      <c r="D392" t="s">
        <v>315</v>
      </c>
      <c r="E392" t="s">
        <v>2177</v>
      </c>
      <c r="F392">
        <v>7.6</v>
      </c>
      <c r="G392">
        <v>80</v>
      </c>
      <c r="H392" t="s">
        <v>875</v>
      </c>
      <c r="I392" t="s">
        <v>874</v>
      </c>
      <c r="J392" t="s">
        <v>1193</v>
      </c>
      <c r="K392" t="s">
        <v>997</v>
      </c>
      <c r="L392" t="s">
        <v>2178</v>
      </c>
      <c r="M392">
        <v>311822</v>
      </c>
      <c r="N392" s="25">
        <v>171243005</v>
      </c>
      <c r="O392" s="26">
        <v>110</v>
      </c>
      <c r="P392" t="s">
        <v>71</v>
      </c>
    </row>
    <row r="393" spans="1:16" ht="15" customHeight="1" x14ac:dyDescent="0.3">
      <c r="A393" t="s">
        <v>2179</v>
      </c>
      <c r="B393" t="s">
        <v>1001</v>
      </c>
      <c r="C393" t="s">
        <v>78</v>
      </c>
      <c r="D393" t="s">
        <v>612</v>
      </c>
      <c r="E393" t="s">
        <v>148</v>
      </c>
      <c r="F393">
        <v>7.9</v>
      </c>
      <c r="G393">
        <v>80</v>
      </c>
      <c r="H393" t="s">
        <v>1333</v>
      </c>
      <c r="I393" t="s">
        <v>2180</v>
      </c>
      <c r="J393" t="s">
        <v>2181</v>
      </c>
      <c r="K393" t="s">
        <v>1976</v>
      </c>
      <c r="L393" t="s">
        <v>337</v>
      </c>
      <c r="M393">
        <v>860823</v>
      </c>
      <c r="N393" s="25">
        <v>936662225</v>
      </c>
      <c r="O393" s="26">
        <v>138</v>
      </c>
      <c r="P393" t="s">
        <v>96</v>
      </c>
    </row>
    <row r="394" spans="1:16" ht="15" customHeight="1" x14ac:dyDescent="0.3">
      <c r="A394" t="s">
        <v>2182</v>
      </c>
      <c r="B394" t="s">
        <v>98</v>
      </c>
      <c r="C394" t="s">
        <v>88</v>
      </c>
      <c r="D394" t="s">
        <v>490</v>
      </c>
      <c r="E394" t="s">
        <v>1057</v>
      </c>
      <c r="F394">
        <v>7.7</v>
      </c>
      <c r="G394">
        <v>80</v>
      </c>
      <c r="H394" t="s">
        <v>1149</v>
      </c>
      <c r="I394" t="s">
        <v>2183</v>
      </c>
      <c r="J394" t="s">
        <v>2184</v>
      </c>
      <c r="K394" t="s">
        <v>226</v>
      </c>
      <c r="L394" t="s">
        <v>937</v>
      </c>
      <c r="M394">
        <v>103330</v>
      </c>
      <c r="N394" s="25">
        <v>18593156</v>
      </c>
      <c r="O394" s="26">
        <v>122</v>
      </c>
      <c r="P394" t="s">
        <v>204</v>
      </c>
    </row>
    <row r="395" spans="1:16" ht="15" customHeight="1" x14ac:dyDescent="0.3">
      <c r="A395" t="s">
        <v>2185</v>
      </c>
      <c r="B395" t="s">
        <v>294</v>
      </c>
      <c r="C395" t="s">
        <v>88</v>
      </c>
      <c r="D395" t="s">
        <v>190</v>
      </c>
      <c r="E395" t="s">
        <v>1843</v>
      </c>
      <c r="F395">
        <v>8.1999999999999993</v>
      </c>
      <c r="G395">
        <v>80</v>
      </c>
      <c r="H395" t="s">
        <v>2186</v>
      </c>
      <c r="I395" t="s">
        <v>2151</v>
      </c>
      <c r="J395" t="s">
        <v>2187</v>
      </c>
      <c r="K395" t="s">
        <v>2188</v>
      </c>
      <c r="L395" t="s">
        <v>2189</v>
      </c>
      <c r="M395">
        <v>193217</v>
      </c>
      <c r="N395" s="25">
        <v>6391436</v>
      </c>
      <c r="O395" s="26">
        <v>129</v>
      </c>
      <c r="P395" t="s">
        <v>71</v>
      </c>
    </row>
    <row r="396" spans="1:16" ht="15" customHeight="1" x14ac:dyDescent="0.3">
      <c r="A396" t="s">
        <v>2190</v>
      </c>
      <c r="B396" t="s">
        <v>126</v>
      </c>
      <c r="C396" t="s">
        <v>78</v>
      </c>
      <c r="D396" t="s">
        <v>262</v>
      </c>
      <c r="E396" t="s">
        <v>772</v>
      </c>
      <c r="F396">
        <v>7.6</v>
      </c>
      <c r="G396">
        <v>80</v>
      </c>
      <c r="H396" t="s">
        <v>1412</v>
      </c>
      <c r="I396" t="s">
        <v>2191</v>
      </c>
      <c r="J396" t="s">
        <v>2192</v>
      </c>
      <c r="K396" t="s">
        <v>2079</v>
      </c>
      <c r="L396" t="s">
        <v>2193</v>
      </c>
      <c r="M396">
        <v>80939</v>
      </c>
      <c r="N396" s="25">
        <v>19202743</v>
      </c>
      <c r="O396" s="26">
        <v>94</v>
      </c>
      <c r="P396" t="s">
        <v>572</v>
      </c>
    </row>
    <row r="397" spans="1:16" ht="15" customHeight="1" x14ac:dyDescent="0.3">
      <c r="A397" t="s">
        <v>2194</v>
      </c>
      <c r="B397" t="s">
        <v>2195</v>
      </c>
      <c r="C397" t="s">
        <v>78</v>
      </c>
      <c r="D397" t="s">
        <v>410</v>
      </c>
      <c r="E397" t="s">
        <v>760</v>
      </c>
      <c r="F397">
        <v>7.7</v>
      </c>
      <c r="G397">
        <v>80</v>
      </c>
      <c r="H397" t="s">
        <v>2196</v>
      </c>
      <c r="I397" t="s">
        <v>1791</v>
      </c>
      <c r="J397" t="s">
        <v>2197</v>
      </c>
      <c r="K397" t="s">
        <v>2198</v>
      </c>
      <c r="L397" t="s">
        <v>2199</v>
      </c>
      <c r="M397">
        <v>98740</v>
      </c>
      <c r="N397" s="25">
        <v>7056013</v>
      </c>
      <c r="O397" s="26">
        <v>109</v>
      </c>
      <c r="P397" t="s">
        <v>124</v>
      </c>
    </row>
    <row r="398" spans="1:16" ht="15" customHeight="1" x14ac:dyDescent="0.3">
      <c r="A398" t="s">
        <v>2200</v>
      </c>
      <c r="B398" t="s">
        <v>198</v>
      </c>
      <c r="C398" t="s">
        <v>99</v>
      </c>
      <c r="D398" t="s">
        <v>79</v>
      </c>
      <c r="E398" t="s">
        <v>700</v>
      </c>
      <c r="F398">
        <v>8.4</v>
      </c>
      <c r="G398">
        <v>80</v>
      </c>
      <c r="H398" t="s">
        <v>847</v>
      </c>
      <c r="I398" t="s">
        <v>562</v>
      </c>
      <c r="J398" t="s">
        <v>1482</v>
      </c>
      <c r="K398" t="s">
        <v>2201</v>
      </c>
      <c r="L398" t="s">
        <v>2202</v>
      </c>
      <c r="M398">
        <v>1125712</v>
      </c>
      <c r="N398" s="25">
        <v>25544867</v>
      </c>
      <c r="O398" s="26">
        <v>113</v>
      </c>
      <c r="P398" t="s">
        <v>705</v>
      </c>
    </row>
    <row r="399" spans="1:16" ht="15" customHeight="1" x14ac:dyDescent="0.3">
      <c r="A399" t="s">
        <v>2203</v>
      </c>
      <c r="B399" t="s">
        <v>389</v>
      </c>
      <c r="C399" t="s">
        <v>146</v>
      </c>
      <c r="D399" t="s">
        <v>1283</v>
      </c>
      <c r="E399" t="s">
        <v>2204</v>
      </c>
      <c r="F399">
        <v>7.6</v>
      </c>
      <c r="G399">
        <v>80</v>
      </c>
      <c r="H399" t="s">
        <v>607</v>
      </c>
      <c r="I399" t="s">
        <v>355</v>
      </c>
      <c r="J399" t="s">
        <v>946</v>
      </c>
      <c r="K399" t="s">
        <v>932</v>
      </c>
      <c r="L399" t="s">
        <v>2205</v>
      </c>
      <c r="M399">
        <v>508417</v>
      </c>
      <c r="N399" s="25">
        <v>132072926</v>
      </c>
      <c r="O399" s="26">
        <v>145</v>
      </c>
      <c r="P399" t="s">
        <v>96</v>
      </c>
    </row>
    <row r="400" spans="1:16" ht="15" customHeight="1" x14ac:dyDescent="0.3">
      <c r="A400" t="s">
        <v>2206</v>
      </c>
      <c r="B400" t="s">
        <v>471</v>
      </c>
      <c r="C400" t="s">
        <v>99</v>
      </c>
      <c r="D400" t="s">
        <v>738</v>
      </c>
      <c r="E400" t="s">
        <v>247</v>
      </c>
      <c r="F400">
        <v>8.1</v>
      </c>
      <c r="G400">
        <v>81</v>
      </c>
      <c r="H400" t="s">
        <v>1312</v>
      </c>
      <c r="I400" t="s">
        <v>997</v>
      </c>
      <c r="J400" t="s">
        <v>590</v>
      </c>
      <c r="K400" t="s">
        <v>2207</v>
      </c>
      <c r="L400" t="s">
        <v>2208</v>
      </c>
      <c r="M400">
        <v>291289</v>
      </c>
      <c r="N400" s="25">
        <v>117624028</v>
      </c>
      <c r="O400" s="26">
        <v>152</v>
      </c>
      <c r="P400" t="s">
        <v>96</v>
      </c>
    </row>
    <row r="401" spans="1:16" ht="15" customHeight="1" x14ac:dyDescent="0.3">
      <c r="A401" t="s">
        <v>2209</v>
      </c>
      <c r="B401" t="s">
        <v>779</v>
      </c>
      <c r="C401" t="s">
        <v>99</v>
      </c>
      <c r="D401" t="s">
        <v>360</v>
      </c>
      <c r="E401" t="s">
        <v>118</v>
      </c>
      <c r="F401">
        <v>7.9</v>
      </c>
      <c r="G401">
        <v>81</v>
      </c>
      <c r="H401" t="s">
        <v>473</v>
      </c>
      <c r="I401" t="s">
        <v>1012</v>
      </c>
      <c r="J401" t="s">
        <v>894</v>
      </c>
      <c r="K401" t="s">
        <v>2210</v>
      </c>
      <c r="L401" t="s">
        <v>2211</v>
      </c>
      <c r="M401">
        <v>111483</v>
      </c>
      <c r="N401" s="25">
        <v>5202582</v>
      </c>
      <c r="O401" s="26">
        <v>101</v>
      </c>
      <c r="P401" t="s">
        <v>124</v>
      </c>
    </row>
    <row r="402" spans="1:16" ht="15" customHeight="1" x14ac:dyDescent="0.3">
      <c r="A402" t="s">
        <v>2212</v>
      </c>
      <c r="B402" t="s">
        <v>779</v>
      </c>
      <c r="C402" t="s">
        <v>78</v>
      </c>
      <c r="D402" t="s">
        <v>147</v>
      </c>
      <c r="E402" t="s">
        <v>1241</v>
      </c>
      <c r="F402">
        <v>7.6</v>
      </c>
      <c r="G402">
        <v>81</v>
      </c>
      <c r="H402" t="s">
        <v>2213</v>
      </c>
      <c r="I402" t="s">
        <v>2214</v>
      </c>
      <c r="J402" t="s">
        <v>1550</v>
      </c>
      <c r="K402" t="s">
        <v>1551</v>
      </c>
      <c r="L402" t="s">
        <v>2215</v>
      </c>
      <c r="M402">
        <v>272784</v>
      </c>
      <c r="N402" s="25">
        <v>248757044</v>
      </c>
      <c r="O402" s="26">
        <v>107</v>
      </c>
      <c r="P402" t="s">
        <v>572</v>
      </c>
    </row>
    <row r="403" spans="1:16" ht="15" customHeight="1" x14ac:dyDescent="0.3">
      <c r="A403" t="s">
        <v>2216</v>
      </c>
      <c r="B403" t="s">
        <v>1001</v>
      </c>
      <c r="C403" t="s">
        <v>99</v>
      </c>
      <c r="D403" t="s">
        <v>2112</v>
      </c>
      <c r="E403" t="s">
        <v>1395</v>
      </c>
      <c r="F403">
        <v>7.6</v>
      </c>
      <c r="G403">
        <v>81</v>
      </c>
      <c r="H403" t="s">
        <v>607</v>
      </c>
      <c r="I403" t="s">
        <v>578</v>
      </c>
      <c r="J403" t="s">
        <v>2217</v>
      </c>
      <c r="K403" t="s">
        <v>2218</v>
      </c>
      <c r="L403" t="s">
        <v>697</v>
      </c>
      <c r="M403">
        <v>287659</v>
      </c>
      <c r="N403" s="25">
        <v>72313754</v>
      </c>
      <c r="O403" s="26">
        <v>142</v>
      </c>
      <c r="P403" t="s">
        <v>71</v>
      </c>
    </row>
    <row r="404" spans="1:16" ht="15" customHeight="1" x14ac:dyDescent="0.3">
      <c r="A404" t="s">
        <v>2219</v>
      </c>
      <c r="B404" t="s">
        <v>434</v>
      </c>
      <c r="C404" t="s">
        <v>146</v>
      </c>
      <c r="D404" t="s">
        <v>230</v>
      </c>
      <c r="E404" t="s">
        <v>2177</v>
      </c>
      <c r="F404">
        <v>8.4</v>
      </c>
      <c r="G404">
        <v>81</v>
      </c>
      <c r="H404" t="s">
        <v>1003</v>
      </c>
      <c r="I404" t="s">
        <v>1449</v>
      </c>
      <c r="J404" t="s">
        <v>2220</v>
      </c>
      <c r="K404" t="s">
        <v>702</v>
      </c>
      <c r="L404" t="s">
        <v>1451</v>
      </c>
      <c r="M404">
        <v>1357682</v>
      </c>
      <c r="N404" s="25">
        <v>162805434</v>
      </c>
      <c r="O404" s="26">
        <v>165</v>
      </c>
      <c r="P404" t="s">
        <v>71</v>
      </c>
    </row>
    <row r="405" spans="1:16" ht="15" customHeight="1" x14ac:dyDescent="0.3">
      <c r="A405" t="s">
        <v>2221</v>
      </c>
      <c r="B405" t="s">
        <v>779</v>
      </c>
      <c r="C405" t="s">
        <v>99</v>
      </c>
      <c r="D405" t="s">
        <v>496</v>
      </c>
      <c r="E405" t="s">
        <v>2222</v>
      </c>
      <c r="F405">
        <v>7.9</v>
      </c>
      <c r="G405">
        <v>81</v>
      </c>
      <c r="H405" t="s">
        <v>1173</v>
      </c>
      <c r="I405" t="s">
        <v>2044</v>
      </c>
      <c r="J405" t="s">
        <v>1126</v>
      </c>
      <c r="K405" t="s">
        <v>1581</v>
      </c>
      <c r="L405" t="s">
        <v>2223</v>
      </c>
      <c r="M405">
        <v>594181</v>
      </c>
      <c r="N405" s="25">
        <v>100546139</v>
      </c>
      <c r="O405" s="26">
        <v>116</v>
      </c>
      <c r="P405" t="s">
        <v>71</v>
      </c>
    </row>
    <row r="406" spans="1:16" ht="15" customHeight="1" x14ac:dyDescent="0.3">
      <c r="A406" t="s">
        <v>2224</v>
      </c>
      <c r="B406" t="s">
        <v>261</v>
      </c>
      <c r="C406" t="s">
        <v>99</v>
      </c>
      <c r="D406" t="s">
        <v>1741</v>
      </c>
      <c r="E406" t="s">
        <v>739</v>
      </c>
      <c r="F406">
        <v>7.7</v>
      </c>
      <c r="G406">
        <v>81</v>
      </c>
      <c r="H406" t="s">
        <v>1826</v>
      </c>
      <c r="I406" t="s">
        <v>740</v>
      </c>
      <c r="J406" t="s">
        <v>795</v>
      </c>
      <c r="K406" t="s">
        <v>741</v>
      </c>
      <c r="L406" t="s">
        <v>2225</v>
      </c>
      <c r="M406">
        <v>548619</v>
      </c>
      <c r="N406" s="25">
        <v>290013036</v>
      </c>
      <c r="O406" s="26">
        <v>157</v>
      </c>
      <c r="P406" t="s">
        <v>124</v>
      </c>
    </row>
    <row r="407" spans="1:16" ht="15" customHeight="1" x14ac:dyDescent="0.3">
      <c r="A407" t="s">
        <v>2226</v>
      </c>
      <c r="B407" t="s">
        <v>434</v>
      </c>
      <c r="C407" t="s">
        <v>146</v>
      </c>
      <c r="D407" t="s">
        <v>490</v>
      </c>
      <c r="E407" t="s">
        <v>129</v>
      </c>
      <c r="F407">
        <v>7.7</v>
      </c>
      <c r="G407">
        <v>81</v>
      </c>
      <c r="H407" t="s">
        <v>2042</v>
      </c>
      <c r="I407" t="s">
        <v>1473</v>
      </c>
      <c r="J407" t="s">
        <v>792</v>
      </c>
      <c r="K407" t="s">
        <v>225</v>
      </c>
      <c r="L407" t="s">
        <v>2227</v>
      </c>
      <c r="M407">
        <v>661871</v>
      </c>
      <c r="N407" s="25">
        <v>132092958</v>
      </c>
      <c r="O407" s="26">
        <v>122</v>
      </c>
      <c r="P407" t="s">
        <v>135</v>
      </c>
    </row>
    <row r="408" spans="1:16" ht="15" customHeight="1" x14ac:dyDescent="0.3">
      <c r="A408" t="s">
        <v>2228</v>
      </c>
      <c r="B408" t="s">
        <v>401</v>
      </c>
      <c r="C408" t="s">
        <v>69</v>
      </c>
      <c r="D408" t="s">
        <v>1882</v>
      </c>
      <c r="E408" t="s">
        <v>1423</v>
      </c>
      <c r="F408">
        <v>7.7</v>
      </c>
      <c r="G408">
        <v>81</v>
      </c>
      <c r="H408" t="s">
        <v>1705</v>
      </c>
      <c r="I408" t="s">
        <v>914</v>
      </c>
      <c r="J408" t="s">
        <v>305</v>
      </c>
      <c r="K408" t="s">
        <v>755</v>
      </c>
      <c r="L408" t="s">
        <v>2229</v>
      </c>
      <c r="M408">
        <v>388089</v>
      </c>
      <c r="N408" s="25">
        <v>56816662</v>
      </c>
      <c r="O408" s="26">
        <v>96</v>
      </c>
      <c r="P408" t="s">
        <v>135</v>
      </c>
    </row>
    <row r="409" spans="1:16" ht="15" customHeight="1" x14ac:dyDescent="0.3">
      <c r="A409" t="s">
        <v>2230</v>
      </c>
      <c r="B409" t="s">
        <v>137</v>
      </c>
      <c r="C409" t="s">
        <v>88</v>
      </c>
      <c r="D409" t="s">
        <v>1077</v>
      </c>
      <c r="E409" t="s">
        <v>905</v>
      </c>
      <c r="F409">
        <v>7.6</v>
      </c>
      <c r="G409">
        <v>81</v>
      </c>
      <c r="H409" t="s">
        <v>2032</v>
      </c>
      <c r="I409" t="s">
        <v>2231</v>
      </c>
      <c r="J409" t="s">
        <v>2232</v>
      </c>
      <c r="K409" t="s">
        <v>2233</v>
      </c>
      <c r="L409" t="s">
        <v>2234</v>
      </c>
      <c r="M409">
        <v>67370</v>
      </c>
      <c r="N409" s="25">
        <v>5739376</v>
      </c>
      <c r="O409" s="26">
        <v>89</v>
      </c>
      <c r="P409" t="s">
        <v>135</v>
      </c>
    </row>
    <row r="410" spans="1:16" ht="15" customHeight="1" x14ac:dyDescent="0.3">
      <c r="A410" t="s">
        <v>2235</v>
      </c>
      <c r="B410" t="s">
        <v>434</v>
      </c>
      <c r="C410" t="s">
        <v>99</v>
      </c>
      <c r="D410" t="s">
        <v>681</v>
      </c>
      <c r="E410" t="s">
        <v>466</v>
      </c>
      <c r="F410">
        <v>7.7</v>
      </c>
      <c r="G410">
        <v>81</v>
      </c>
      <c r="H410" t="s">
        <v>1380</v>
      </c>
      <c r="I410" t="s">
        <v>1252</v>
      </c>
      <c r="J410" t="s">
        <v>1571</v>
      </c>
      <c r="K410" t="s">
        <v>1511</v>
      </c>
      <c r="L410" t="s">
        <v>1856</v>
      </c>
      <c r="M410">
        <v>630614</v>
      </c>
      <c r="N410" s="25">
        <v>304360277</v>
      </c>
      <c r="O410" s="26">
        <v>143</v>
      </c>
      <c r="P410" t="s">
        <v>96</v>
      </c>
    </row>
    <row r="411" spans="1:16" ht="15" customHeight="1" x14ac:dyDescent="0.3">
      <c r="A411" t="s">
        <v>2236</v>
      </c>
      <c r="B411" t="s">
        <v>87</v>
      </c>
      <c r="C411" t="s">
        <v>99</v>
      </c>
      <c r="D411" t="s">
        <v>484</v>
      </c>
      <c r="E411" t="s">
        <v>2237</v>
      </c>
      <c r="F411">
        <v>7.8</v>
      </c>
      <c r="G411">
        <v>81</v>
      </c>
      <c r="H411" t="s">
        <v>1750</v>
      </c>
      <c r="I411" t="s">
        <v>1751</v>
      </c>
      <c r="J411" t="s">
        <v>1752</v>
      </c>
      <c r="K411" t="s">
        <v>438</v>
      </c>
      <c r="L411" t="s">
        <v>338</v>
      </c>
      <c r="M411">
        <v>463466</v>
      </c>
      <c r="N411" s="25">
        <v>23637265</v>
      </c>
      <c r="O411" s="26">
        <v>121</v>
      </c>
      <c r="P411" t="s">
        <v>96</v>
      </c>
    </row>
    <row r="412" spans="1:16" ht="15" customHeight="1" x14ac:dyDescent="0.3">
      <c r="A412" t="s">
        <v>2238</v>
      </c>
      <c r="B412" t="s">
        <v>1001</v>
      </c>
      <c r="C412" t="s">
        <v>146</v>
      </c>
      <c r="D412" t="s">
        <v>108</v>
      </c>
      <c r="E412" t="s">
        <v>403</v>
      </c>
      <c r="F412">
        <v>7.8</v>
      </c>
      <c r="G412">
        <v>81</v>
      </c>
      <c r="H412" t="s">
        <v>2239</v>
      </c>
      <c r="I412" t="s">
        <v>590</v>
      </c>
      <c r="J412" t="s">
        <v>1354</v>
      </c>
      <c r="K412" t="s">
        <v>306</v>
      </c>
      <c r="L412" t="s">
        <v>227</v>
      </c>
      <c r="M412">
        <v>362942</v>
      </c>
      <c r="N412" s="25">
        <v>70259870</v>
      </c>
      <c r="O412" s="26">
        <v>130</v>
      </c>
      <c r="P412" t="s">
        <v>204</v>
      </c>
    </row>
    <row r="413" spans="1:16" ht="15" customHeight="1" x14ac:dyDescent="0.3">
      <c r="A413" t="s">
        <v>2240</v>
      </c>
      <c r="B413" t="s">
        <v>270</v>
      </c>
      <c r="C413" t="s">
        <v>78</v>
      </c>
      <c r="D413" t="s">
        <v>128</v>
      </c>
      <c r="E413" t="s">
        <v>2077</v>
      </c>
      <c r="F413">
        <v>7.7</v>
      </c>
      <c r="G413">
        <v>81</v>
      </c>
      <c r="H413" t="s">
        <v>2241</v>
      </c>
      <c r="I413" t="s">
        <v>2242</v>
      </c>
      <c r="J413" t="s">
        <v>2243</v>
      </c>
      <c r="K413" t="s">
        <v>2244</v>
      </c>
      <c r="L413" t="s">
        <v>2245</v>
      </c>
      <c r="M413">
        <v>71379</v>
      </c>
      <c r="N413" s="25">
        <v>881302</v>
      </c>
      <c r="O413" s="26">
        <v>90</v>
      </c>
      <c r="P413" t="s">
        <v>572</v>
      </c>
    </row>
    <row r="414" spans="1:16" ht="15" customHeight="1" x14ac:dyDescent="0.3">
      <c r="A414" t="s">
        <v>2246</v>
      </c>
      <c r="B414" t="s">
        <v>510</v>
      </c>
      <c r="C414" t="s">
        <v>99</v>
      </c>
      <c r="D414" t="s">
        <v>1962</v>
      </c>
      <c r="E414" t="s">
        <v>377</v>
      </c>
      <c r="F414">
        <v>8</v>
      </c>
      <c r="G414">
        <v>81</v>
      </c>
      <c r="H414" t="s">
        <v>1173</v>
      </c>
      <c r="I414" t="s">
        <v>453</v>
      </c>
      <c r="J414" t="s">
        <v>306</v>
      </c>
      <c r="K414" t="s">
        <v>2247</v>
      </c>
      <c r="L414" t="s">
        <v>964</v>
      </c>
      <c r="M414">
        <v>461823</v>
      </c>
      <c r="N414" s="25">
        <v>92054159</v>
      </c>
      <c r="O414" s="26">
        <v>164</v>
      </c>
      <c r="P414" t="s">
        <v>96</v>
      </c>
    </row>
    <row r="415" spans="1:16" ht="15" customHeight="1" x14ac:dyDescent="0.3">
      <c r="A415" t="s">
        <v>2248</v>
      </c>
      <c r="B415" t="s">
        <v>457</v>
      </c>
      <c r="C415" t="s">
        <v>146</v>
      </c>
      <c r="D415" t="s">
        <v>490</v>
      </c>
      <c r="E415" t="s">
        <v>162</v>
      </c>
      <c r="F415">
        <v>8</v>
      </c>
      <c r="G415">
        <v>81</v>
      </c>
      <c r="H415" t="s">
        <v>2249</v>
      </c>
      <c r="I415" t="s">
        <v>1086</v>
      </c>
      <c r="J415" t="s">
        <v>2205</v>
      </c>
      <c r="K415" t="s">
        <v>2250</v>
      </c>
      <c r="L415" t="s">
        <v>2251</v>
      </c>
      <c r="M415">
        <v>362393</v>
      </c>
      <c r="N415" s="25">
        <v>232906145</v>
      </c>
      <c r="O415" s="26">
        <v>122</v>
      </c>
      <c r="P415" t="s">
        <v>162</v>
      </c>
    </row>
    <row r="416" spans="1:16" ht="15" customHeight="1" x14ac:dyDescent="0.3">
      <c r="A416" t="s">
        <v>2252</v>
      </c>
      <c r="B416" t="s">
        <v>510</v>
      </c>
      <c r="C416" t="s">
        <v>78</v>
      </c>
      <c r="D416" t="s">
        <v>1269</v>
      </c>
      <c r="E416" t="s">
        <v>772</v>
      </c>
      <c r="F416">
        <v>8.4</v>
      </c>
      <c r="G416">
        <v>81</v>
      </c>
      <c r="H416" t="s">
        <v>2053</v>
      </c>
      <c r="I416" t="s">
        <v>2253</v>
      </c>
      <c r="J416" t="s">
        <v>2254</v>
      </c>
      <c r="K416" t="s">
        <v>1692</v>
      </c>
      <c r="L416" t="s">
        <v>170</v>
      </c>
      <c r="M416">
        <v>384171</v>
      </c>
      <c r="N416" s="25">
        <v>209726015</v>
      </c>
      <c r="O416" s="26">
        <v>105</v>
      </c>
      <c r="P416" t="s">
        <v>572</v>
      </c>
    </row>
    <row r="417" spans="1:16" ht="15" customHeight="1" x14ac:dyDescent="0.3">
      <c r="A417" t="s">
        <v>2255</v>
      </c>
      <c r="B417" t="s">
        <v>294</v>
      </c>
      <c r="C417" t="s">
        <v>146</v>
      </c>
      <c r="D417" t="s">
        <v>402</v>
      </c>
      <c r="E417" t="s">
        <v>2256</v>
      </c>
      <c r="F417">
        <v>7.9</v>
      </c>
      <c r="G417">
        <v>81</v>
      </c>
      <c r="H417" t="s">
        <v>2257</v>
      </c>
      <c r="I417" t="s">
        <v>2258</v>
      </c>
      <c r="J417" t="s">
        <v>2259</v>
      </c>
      <c r="K417" t="s">
        <v>2260</v>
      </c>
      <c r="L417" t="s">
        <v>2261</v>
      </c>
      <c r="M417">
        <v>638202</v>
      </c>
      <c r="N417" s="25">
        <v>115646235</v>
      </c>
      <c r="O417" s="26">
        <v>112</v>
      </c>
      <c r="P417" t="s">
        <v>96</v>
      </c>
    </row>
    <row r="418" spans="1:16" ht="15" customHeight="1" x14ac:dyDescent="0.3">
      <c r="A418" t="s">
        <v>2262</v>
      </c>
      <c r="B418" t="s">
        <v>749</v>
      </c>
      <c r="C418" t="s">
        <v>78</v>
      </c>
      <c r="D418" t="s">
        <v>418</v>
      </c>
      <c r="E418" t="s">
        <v>403</v>
      </c>
      <c r="F418">
        <v>7.7</v>
      </c>
      <c r="G418">
        <v>81</v>
      </c>
      <c r="H418" t="s">
        <v>2263</v>
      </c>
      <c r="I418" t="s">
        <v>2264</v>
      </c>
      <c r="J418" t="s">
        <v>2264</v>
      </c>
      <c r="K418" t="s">
        <v>2107</v>
      </c>
      <c r="L418" t="s">
        <v>2265</v>
      </c>
      <c r="M418">
        <v>33600</v>
      </c>
      <c r="N418" s="25">
        <v>21848932</v>
      </c>
      <c r="O418" s="26">
        <v>108</v>
      </c>
      <c r="P418" t="s">
        <v>204</v>
      </c>
    </row>
    <row r="419" spans="1:16" ht="15" customHeight="1" x14ac:dyDescent="0.3">
      <c r="A419" t="s">
        <v>2266</v>
      </c>
      <c r="B419" t="s">
        <v>471</v>
      </c>
      <c r="C419" t="s">
        <v>99</v>
      </c>
      <c r="D419" t="s">
        <v>108</v>
      </c>
      <c r="E419" t="s">
        <v>263</v>
      </c>
      <c r="F419">
        <v>7.9</v>
      </c>
      <c r="G419">
        <v>82</v>
      </c>
      <c r="H419" t="s">
        <v>2267</v>
      </c>
      <c r="I419" t="s">
        <v>1252</v>
      </c>
      <c r="J419" t="s">
        <v>512</v>
      </c>
      <c r="K419" t="s">
        <v>2247</v>
      </c>
      <c r="L419" t="s">
        <v>2268</v>
      </c>
      <c r="M419">
        <v>454203</v>
      </c>
      <c r="N419" s="25">
        <v>165359751</v>
      </c>
      <c r="O419" s="26">
        <v>130</v>
      </c>
      <c r="P419" t="s">
        <v>135</v>
      </c>
    </row>
    <row r="420" spans="1:16" ht="15" customHeight="1" x14ac:dyDescent="0.3">
      <c r="A420" t="s">
        <v>2269</v>
      </c>
      <c r="B420" t="s">
        <v>1001</v>
      </c>
      <c r="C420" t="s">
        <v>146</v>
      </c>
      <c r="D420" t="s">
        <v>484</v>
      </c>
      <c r="E420" t="s">
        <v>90</v>
      </c>
      <c r="F420">
        <v>7.6</v>
      </c>
      <c r="G420">
        <v>82</v>
      </c>
      <c r="H420" t="s">
        <v>1173</v>
      </c>
      <c r="I420" t="s">
        <v>1248</v>
      </c>
      <c r="J420" t="s">
        <v>646</v>
      </c>
      <c r="K420" t="s">
        <v>121</v>
      </c>
      <c r="L420" t="s">
        <v>2207</v>
      </c>
      <c r="M420">
        <v>371291</v>
      </c>
      <c r="N420" s="25">
        <v>46889293</v>
      </c>
      <c r="O420" s="26">
        <v>121</v>
      </c>
      <c r="P420" t="s">
        <v>96</v>
      </c>
    </row>
    <row r="421" spans="1:16" ht="15" customHeight="1" x14ac:dyDescent="0.3">
      <c r="A421" t="s">
        <v>2270</v>
      </c>
      <c r="B421" t="s">
        <v>294</v>
      </c>
      <c r="C421" t="s">
        <v>99</v>
      </c>
      <c r="D421" t="s">
        <v>786</v>
      </c>
      <c r="E421" t="s">
        <v>148</v>
      </c>
      <c r="F421">
        <v>7.9</v>
      </c>
      <c r="G421">
        <v>82</v>
      </c>
      <c r="H421" t="s">
        <v>1333</v>
      </c>
      <c r="I421" t="s">
        <v>1334</v>
      </c>
      <c r="J421" t="s">
        <v>1335</v>
      </c>
      <c r="K421" t="s">
        <v>1751</v>
      </c>
      <c r="L421" t="s">
        <v>2271</v>
      </c>
      <c r="M421">
        <v>577336</v>
      </c>
      <c r="N421" s="25">
        <v>257730019</v>
      </c>
      <c r="O421" s="26">
        <v>127</v>
      </c>
      <c r="P421" t="s">
        <v>96</v>
      </c>
    </row>
    <row r="422" spans="1:16" ht="15" customHeight="1" x14ac:dyDescent="0.3">
      <c r="A422" t="s">
        <v>2272</v>
      </c>
      <c r="B422" t="s">
        <v>261</v>
      </c>
      <c r="C422" t="s">
        <v>127</v>
      </c>
      <c r="D422" t="s">
        <v>190</v>
      </c>
      <c r="E422" t="s">
        <v>301</v>
      </c>
      <c r="F422">
        <v>7.8</v>
      </c>
      <c r="G422">
        <v>82</v>
      </c>
      <c r="H422" t="s">
        <v>2273</v>
      </c>
      <c r="I422" t="s">
        <v>684</v>
      </c>
      <c r="J422" t="s">
        <v>2274</v>
      </c>
      <c r="K422" t="s">
        <v>2275</v>
      </c>
      <c r="L422" t="s">
        <v>220</v>
      </c>
      <c r="M422">
        <v>258924</v>
      </c>
      <c r="N422" s="25">
        <v>38405088</v>
      </c>
      <c r="O422" s="26">
        <v>129</v>
      </c>
      <c r="P422" t="s">
        <v>71</v>
      </c>
    </row>
    <row r="423" spans="1:16" ht="15" customHeight="1" x14ac:dyDescent="0.3">
      <c r="A423" t="s">
        <v>2276</v>
      </c>
      <c r="B423" t="s">
        <v>87</v>
      </c>
      <c r="C423" t="s">
        <v>88</v>
      </c>
      <c r="D423" t="s">
        <v>839</v>
      </c>
      <c r="E423" t="s">
        <v>90</v>
      </c>
      <c r="F423">
        <v>7.6</v>
      </c>
      <c r="G423">
        <v>82</v>
      </c>
      <c r="H423" t="s">
        <v>2277</v>
      </c>
      <c r="I423" t="s">
        <v>1164</v>
      </c>
      <c r="J423" t="s">
        <v>1158</v>
      </c>
      <c r="K423" t="s">
        <v>2278</v>
      </c>
      <c r="L423" t="s">
        <v>2279</v>
      </c>
      <c r="M423">
        <v>227760</v>
      </c>
      <c r="N423" s="25">
        <v>17114882</v>
      </c>
      <c r="O423" s="26">
        <v>100</v>
      </c>
      <c r="P423" t="s">
        <v>96</v>
      </c>
    </row>
    <row r="424" spans="1:16" ht="15" customHeight="1" x14ac:dyDescent="0.3">
      <c r="A424" t="s">
        <v>2280</v>
      </c>
      <c r="B424" t="s">
        <v>107</v>
      </c>
      <c r="C424" t="s">
        <v>88</v>
      </c>
      <c r="D424" t="s">
        <v>1882</v>
      </c>
      <c r="E424" t="s">
        <v>71</v>
      </c>
      <c r="F424">
        <v>8</v>
      </c>
      <c r="G424">
        <v>82</v>
      </c>
      <c r="H424" t="s">
        <v>2281</v>
      </c>
      <c r="I424" t="s">
        <v>2282</v>
      </c>
      <c r="J424" t="s">
        <v>2283</v>
      </c>
      <c r="K424" t="s">
        <v>2284</v>
      </c>
      <c r="L424" t="s">
        <v>2285</v>
      </c>
      <c r="M424">
        <v>81770</v>
      </c>
      <c r="N424" s="25">
        <v>1010414</v>
      </c>
      <c r="O424" s="26">
        <v>96</v>
      </c>
      <c r="P424" t="s">
        <v>71</v>
      </c>
    </row>
    <row r="425" spans="1:16" ht="15" customHeight="1" x14ac:dyDescent="0.3">
      <c r="A425" t="s">
        <v>2286</v>
      </c>
      <c r="B425" t="s">
        <v>294</v>
      </c>
      <c r="C425" t="s">
        <v>99</v>
      </c>
      <c r="D425" t="s">
        <v>239</v>
      </c>
      <c r="E425" t="s">
        <v>2287</v>
      </c>
      <c r="F425">
        <v>7.8</v>
      </c>
      <c r="G425">
        <v>82</v>
      </c>
      <c r="H425" t="s">
        <v>2288</v>
      </c>
      <c r="I425" t="s">
        <v>2289</v>
      </c>
      <c r="J425" t="s">
        <v>2290</v>
      </c>
      <c r="K425" t="s">
        <v>2291</v>
      </c>
      <c r="L425" t="s">
        <v>2292</v>
      </c>
      <c r="M425">
        <v>68715</v>
      </c>
      <c r="N425" s="25">
        <v>2222647</v>
      </c>
      <c r="O425" s="26">
        <v>144</v>
      </c>
      <c r="P425" t="s">
        <v>71</v>
      </c>
    </row>
    <row r="426" spans="1:16" ht="15" customHeight="1" x14ac:dyDescent="0.3">
      <c r="A426" t="s">
        <v>2293</v>
      </c>
      <c r="B426" t="s">
        <v>77</v>
      </c>
      <c r="C426" t="s">
        <v>88</v>
      </c>
      <c r="D426" t="s">
        <v>503</v>
      </c>
      <c r="E426" t="s">
        <v>1057</v>
      </c>
      <c r="F426">
        <v>8.1999999999999993</v>
      </c>
      <c r="G426">
        <v>82</v>
      </c>
      <c r="H426" t="s">
        <v>526</v>
      </c>
      <c r="I426" t="s">
        <v>2060</v>
      </c>
      <c r="J426" t="s">
        <v>1630</v>
      </c>
      <c r="K426" t="s">
        <v>2294</v>
      </c>
      <c r="L426" t="s">
        <v>2295</v>
      </c>
      <c r="M426">
        <v>331308</v>
      </c>
      <c r="N426" s="25">
        <v>5509040</v>
      </c>
      <c r="O426" s="26">
        <v>156</v>
      </c>
      <c r="P426" t="s">
        <v>204</v>
      </c>
    </row>
    <row r="427" spans="1:16" ht="15" customHeight="1" x14ac:dyDescent="0.3">
      <c r="A427" t="s">
        <v>2296</v>
      </c>
      <c r="B427" t="s">
        <v>77</v>
      </c>
      <c r="C427" t="s">
        <v>78</v>
      </c>
      <c r="D427" t="s">
        <v>2112</v>
      </c>
      <c r="E427" t="s">
        <v>739</v>
      </c>
      <c r="F427">
        <v>7.9</v>
      </c>
      <c r="G427">
        <v>82</v>
      </c>
      <c r="H427" t="s">
        <v>2297</v>
      </c>
      <c r="I427" t="s">
        <v>740</v>
      </c>
      <c r="J427" t="s">
        <v>795</v>
      </c>
      <c r="K427" t="s">
        <v>741</v>
      </c>
      <c r="L427" t="s">
        <v>2298</v>
      </c>
      <c r="M427">
        <v>552493</v>
      </c>
      <c r="N427" s="25">
        <v>249358727</v>
      </c>
      <c r="O427" s="26">
        <v>142</v>
      </c>
      <c r="P427" t="s">
        <v>124</v>
      </c>
    </row>
    <row r="428" spans="1:16" ht="15" customHeight="1" x14ac:dyDescent="0.3">
      <c r="A428" t="s">
        <v>2299</v>
      </c>
      <c r="B428" t="s">
        <v>1001</v>
      </c>
      <c r="C428" t="s">
        <v>146</v>
      </c>
      <c r="D428" t="s">
        <v>539</v>
      </c>
      <c r="E428" t="s">
        <v>109</v>
      </c>
      <c r="F428">
        <v>7.6</v>
      </c>
      <c r="G428">
        <v>82</v>
      </c>
      <c r="H428" t="s">
        <v>2300</v>
      </c>
      <c r="I428" t="s">
        <v>2301</v>
      </c>
      <c r="J428" t="s">
        <v>597</v>
      </c>
      <c r="K428" t="s">
        <v>2302</v>
      </c>
      <c r="L428" t="s">
        <v>2303</v>
      </c>
      <c r="M428">
        <v>247666</v>
      </c>
      <c r="N428" s="25">
        <v>109767581</v>
      </c>
      <c r="O428" s="26">
        <v>133</v>
      </c>
      <c r="P428" t="s">
        <v>71</v>
      </c>
    </row>
    <row r="429" spans="1:16" ht="15" customHeight="1" x14ac:dyDescent="0.3">
      <c r="A429" t="s">
        <v>2304</v>
      </c>
      <c r="B429" t="s">
        <v>502</v>
      </c>
      <c r="C429" t="s">
        <v>88</v>
      </c>
      <c r="D429" t="s">
        <v>839</v>
      </c>
      <c r="E429" t="s">
        <v>191</v>
      </c>
      <c r="F429">
        <v>7.7</v>
      </c>
      <c r="G429">
        <v>82</v>
      </c>
      <c r="H429" t="s">
        <v>2305</v>
      </c>
      <c r="I429" t="s">
        <v>505</v>
      </c>
      <c r="J429" t="s">
        <v>1397</v>
      </c>
      <c r="K429" t="s">
        <v>2306</v>
      </c>
      <c r="L429" t="s">
        <v>2307</v>
      </c>
      <c r="M429">
        <v>95826</v>
      </c>
      <c r="N429" s="25">
        <v>10725228</v>
      </c>
      <c r="O429" s="26">
        <v>100</v>
      </c>
      <c r="P429" t="s">
        <v>172</v>
      </c>
    </row>
    <row r="430" spans="1:16" ht="15" customHeight="1" x14ac:dyDescent="0.3">
      <c r="A430" t="s">
        <v>2308</v>
      </c>
      <c r="B430" t="s">
        <v>164</v>
      </c>
      <c r="C430" t="s">
        <v>78</v>
      </c>
      <c r="D430" t="s">
        <v>2309</v>
      </c>
      <c r="E430" t="s">
        <v>2310</v>
      </c>
      <c r="F430">
        <v>8</v>
      </c>
      <c r="G430">
        <v>82</v>
      </c>
      <c r="H430" t="s">
        <v>2162</v>
      </c>
      <c r="I430" t="s">
        <v>2311</v>
      </c>
      <c r="J430" t="s">
        <v>1848</v>
      </c>
      <c r="K430" t="s">
        <v>2312</v>
      </c>
      <c r="L430" t="s">
        <v>2313</v>
      </c>
      <c r="M430">
        <v>300208</v>
      </c>
      <c r="N430" s="25">
        <v>75082668</v>
      </c>
      <c r="O430" s="26">
        <v>76</v>
      </c>
      <c r="P430" t="s">
        <v>572</v>
      </c>
    </row>
    <row r="431" spans="1:16" ht="15" customHeight="1" x14ac:dyDescent="0.3">
      <c r="A431" t="s">
        <v>2314</v>
      </c>
      <c r="B431" t="s">
        <v>749</v>
      </c>
      <c r="C431" t="s">
        <v>99</v>
      </c>
      <c r="D431" t="s">
        <v>2112</v>
      </c>
      <c r="E431" t="s">
        <v>301</v>
      </c>
      <c r="F431">
        <v>8.8000000000000007</v>
      </c>
      <c r="G431">
        <v>82</v>
      </c>
      <c r="H431" t="s">
        <v>420</v>
      </c>
      <c r="I431" t="s">
        <v>578</v>
      </c>
      <c r="J431" t="s">
        <v>1847</v>
      </c>
      <c r="K431" t="s">
        <v>1895</v>
      </c>
      <c r="L431" t="s">
        <v>2315</v>
      </c>
      <c r="M431">
        <v>1809221</v>
      </c>
      <c r="N431" s="25">
        <v>330252182</v>
      </c>
      <c r="O431" s="26">
        <v>142</v>
      </c>
      <c r="P431" t="s">
        <v>71</v>
      </c>
    </row>
    <row r="432" spans="1:16" ht="15" customHeight="1" x14ac:dyDescent="0.3">
      <c r="A432" t="s">
        <v>2316</v>
      </c>
      <c r="B432" t="s">
        <v>107</v>
      </c>
      <c r="C432" t="s">
        <v>99</v>
      </c>
      <c r="D432" t="s">
        <v>207</v>
      </c>
      <c r="E432" t="s">
        <v>2317</v>
      </c>
      <c r="F432">
        <v>7.8</v>
      </c>
      <c r="G432">
        <v>82</v>
      </c>
      <c r="H432" t="s">
        <v>1515</v>
      </c>
      <c r="I432" t="s">
        <v>578</v>
      </c>
      <c r="J432" t="s">
        <v>2318</v>
      </c>
      <c r="K432" t="s">
        <v>2319</v>
      </c>
      <c r="L432" t="s">
        <v>934</v>
      </c>
      <c r="M432">
        <v>421244</v>
      </c>
      <c r="N432" s="25">
        <v>107100855</v>
      </c>
      <c r="O432" s="26">
        <v>134</v>
      </c>
      <c r="P432" t="s">
        <v>124</v>
      </c>
    </row>
    <row r="433" spans="1:16" ht="15" customHeight="1" x14ac:dyDescent="0.3">
      <c r="A433" t="s">
        <v>2320</v>
      </c>
      <c r="B433" t="s">
        <v>137</v>
      </c>
      <c r="C433" t="s">
        <v>99</v>
      </c>
      <c r="D433" t="s">
        <v>215</v>
      </c>
      <c r="E433" t="s">
        <v>191</v>
      </c>
      <c r="F433">
        <v>8.1</v>
      </c>
      <c r="G433">
        <v>82</v>
      </c>
      <c r="H433" t="s">
        <v>2046</v>
      </c>
      <c r="I433" t="s">
        <v>391</v>
      </c>
      <c r="J433" t="s">
        <v>2321</v>
      </c>
      <c r="K433" t="s">
        <v>2322</v>
      </c>
      <c r="L433" t="s">
        <v>2323</v>
      </c>
      <c r="M433">
        <v>139558</v>
      </c>
      <c r="N433" s="25">
        <v>14131</v>
      </c>
      <c r="O433" s="26">
        <v>131</v>
      </c>
      <c r="P433" t="s">
        <v>172</v>
      </c>
    </row>
    <row r="434" spans="1:16" ht="15" customHeight="1" x14ac:dyDescent="0.3">
      <c r="A434" t="s">
        <v>2324</v>
      </c>
      <c r="B434" t="s">
        <v>98</v>
      </c>
      <c r="C434" t="s">
        <v>88</v>
      </c>
      <c r="D434" t="s">
        <v>642</v>
      </c>
      <c r="E434" t="s">
        <v>576</v>
      </c>
      <c r="F434">
        <v>7.9</v>
      </c>
      <c r="G434">
        <v>82</v>
      </c>
      <c r="H434" t="s">
        <v>2325</v>
      </c>
      <c r="I434" t="s">
        <v>2326</v>
      </c>
      <c r="J434" t="s">
        <v>2327</v>
      </c>
      <c r="K434" t="s">
        <v>2328</v>
      </c>
      <c r="L434" t="s">
        <v>2329</v>
      </c>
      <c r="M434">
        <v>205609</v>
      </c>
      <c r="N434" s="25">
        <v>2122065</v>
      </c>
      <c r="O434" s="26">
        <v>114</v>
      </c>
      <c r="P434" t="s">
        <v>172</v>
      </c>
    </row>
    <row r="435" spans="1:16" ht="15" customHeight="1" x14ac:dyDescent="0.3">
      <c r="A435" t="s">
        <v>2330</v>
      </c>
      <c r="B435" t="s">
        <v>538</v>
      </c>
      <c r="C435" t="s">
        <v>99</v>
      </c>
      <c r="D435" t="s">
        <v>279</v>
      </c>
      <c r="E435" t="s">
        <v>450</v>
      </c>
      <c r="F435">
        <v>8.6999999999999993</v>
      </c>
      <c r="G435">
        <v>82</v>
      </c>
      <c r="H435" t="s">
        <v>2331</v>
      </c>
      <c r="I435" t="s">
        <v>452</v>
      </c>
      <c r="J435" t="s">
        <v>453</v>
      </c>
      <c r="K435" t="s">
        <v>454</v>
      </c>
      <c r="L435" t="s">
        <v>455</v>
      </c>
      <c r="M435">
        <v>1159315</v>
      </c>
      <c r="N435" s="25">
        <v>290475067</v>
      </c>
      <c r="O435" s="26">
        <v>124</v>
      </c>
      <c r="P435" t="s">
        <v>96</v>
      </c>
    </row>
    <row r="436" spans="1:16" ht="15" customHeight="1" x14ac:dyDescent="0.3">
      <c r="A436" t="s">
        <v>2332</v>
      </c>
      <c r="B436" t="s">
        <v>116</v>
      </c>
      <c r="C436" t="s">
        <v>88</v>
      </c>
      <c r="D436" t="s">
        <v>1269</v>
      </c>
      <c r="E436" t="s">
        <v>71</v>
      </c>
      <c r="F436">
        <v>8</v>
      </c>
      <c r="G436">
        <v>82</v>
      </c>
      <c r="H436" t="s">
        <v>1861</v>
      </c>
      <c r="I436" t="s">
        <v>265</v>
      </c>
      <c r="J436" t="s">
        <v>2333</v>
      </c>
      <c r="K436" t="s">
        <v>1862</v>
      </c>
      <c r="L436" t="s">
        <v>268</v>
      </c>
      <c r="M436">
        <v>78341</v>
      </c>
      <c r="N436" s="25">
        <v>1647780</v>
      </c>
      <c r="O436" s="26">
        <v>105</v>
      </c>
      <c r="P436" t="s">
        <v>71</v>
      </c>
    </row>
    <row r="437" spans="1:16" ht="15" customHeight="1" x14ac:dyDescent="0.3">
      <c r="A437" t="s">
        <v>2334</v>
      </c>
      <c r="B437" t="s">
        <v>206</v>
      </c>
      <c r="C437" t="s">
        <v>78</v>
      </c>
      <c r="D437" t="s">
        <v>360</v>
      </c>
      <c r="E437" t="s">
        <v>1241</v>
      </c>
      <c r="F437">
        <v>7.9</v>
      </c>
      <c r="G437">
        <v>82</v>
      </c>
      <c r="H437" t="s">
        <v>1813</v>
      </c>
      <c r="I437" t="s">
        <v>2008</v>
      </c>
      <c r="J437" t="s">
        <v>2335</v>
      </c>
      <c r="K437" t="s">
        <v>195</v>
      </c>
      <c r="L437" t="s">
        <v>2336</v>
      </c>
      <c r="M437">
        <v>139114</v>
      </c>
      <c r="N437" s="25">
        <v>32015231</v>
      </c>
      <c r="O437" s="26">
        <v>101</v>
      </c>
      <c r="P437" t="s">
        <v>572</v>
      </c>
    </row>
    <row r="438" spans="1:16" ht="15" customHeight="1" x14ac:dyDescent="0.3">
      <c r="A438" t="s">
        <v>2337</v>
      </c>
      <c r="B438" t="s">
        <v>1268</v>
      </c>
      <c r="C438" t="s">
        <v>146</v>
      </c>
      <c r="D438" t="s">
        <v>886</v>
      </c>
      <c r="E438" t="s">
        <v>223</v>
      </c>
      <c r="F438">
        <v>7.6</v>
      </c>
      <c r="G438">
        <v>82</v>
      </c>
      <c r="H438" t="s">
        <v>874</v>
      </c>
      <c r="I438" t="s">
        <v>875</v>
      </c>
      <c r="J438" t="s">
        <v>2338</v>
      </c>
      <c r="K438" t="s">
        <v>2339</v>
      </c>
      <c r="L438" t="s">
        <v>2340</v>
      </c>
      <c r="M438">
        <v>87745</v>
      </c>
      <c r="N438" s="25">
        <v>2150000</v>
      </c>
      <c r="O438" s="26">
        <v>99</v>
      </c>
      <c r="P438" t="s">
        <v>172</v>
      </c>
    </row>
    <row r="439" spans="1:16" ht="15" customHeight="1" x14ac:dyDescent="0.3">
      <c r="A439" t="s">
        <v>2341</v>
      </c>
      <c r="B439" t="s">
        <v>797</v>
      </c>
      <c r="C439" t="s">
        <v>78</v>
      </c>
      <c r="D439" t="s">
        <v>341</v>
      </c>
      <c r="E439" t="s">
        <v>1241</v>
      </c>
      <c r="F439">
        <v>7.7</v>
      </c>
      <c r="G439">
        <v>83</v>
      </c>
      <c r="H439" t="s">
        <v>420</v>
      </c>
      <c r="I439" t="s">
        <v>2342</v>
      </c>
      <c r="J439" t="s">
        <v>422</v>
      </c>
      <c r="K439" t="s">
        <v>2343</v>
      </c>
      <c r="L439" t="s">
        <v>2344</v>
      </c>
      <c r="M439">
        <v>182009</v>
      </c>
      <c r="N439" s="25">
        <v>156452370</v>
      </c>
      <c r="O439" s="26">
        <v>104</v>
      </c>
      <c r="P439" t="s">
        <v>572</v>
      </c>
    </row>
    <row r="440" spans="1:16" ht="15" customHeight="1" x14ac:dyDescent="0.3">
      <c r="A440" t="s">
        <v>2345</v>
      </c>
      <c r="B440" t="s">
        <v>198</v>
      </c>
      <c r="C440" t="s">
        <v>146</v>
      </c>
      <c r="D440" t="s">
        <v>353</v>
      </c>
      <c r="E440" t="s">
        <v>525</v>
      </c>
      <c r="F440">
        <v>8.1</v>
      </c>
      <c r="G440">
        <v>83</v>
      </c>
      <c r="H440" t="s">
        <v>1163</v>
      </c>
      <c r="I440" t="s">
        <v>2346</v>
      </c>
      <c r="J440" t="s">
        <v>1692</v>
      </c>
      <c r="K440" t="s">
        <v>2347</v>
      </c>
      <c r="L440" t="s">
        <v>2348</v>
      </c>
      <c r="M440">
        <v>223741</v>
      </c>
      <c r="N440" s="25">
        <v>5383834</v>
      </c>
      <c r="O440" s="26">
        <v>154</v>
      </c>
      <c r="P440" t="s">
        <v>71</v>
      </c>
    </row>
    <row r="441" spans="1:16" ht="15" customHeight="1" x14ac:dyDescent="0.3">
      <c r="A441" t="s">
        <v>2349</v>
      </c>
      <c r="B441" t="s">
        <v>2350</v>
      </c>
      <c r="C441" t="s">
        <v>78</v>
      </c>
      <c r="D441" t="s">
        <v>79</v>
      </c>
      <c r="E441" t="s">
        <v>2351</v>
      </c>
      <c r="F441">
        <v>7.9</v>
      </c>
      <c r="G441">
        <v>83</v>
      </c>
      <c r="H441" t="s">
        <v>2352</v>
      </c>
      <c r="I441" t="s">
        <v>2353</v>
      </c>
      <c r="J441" t="s">
        <v>2354</v>
      </c>
      <c r="K441" t="s">
        <v>1398</v>
      </c>
      <c r="L441" t="s">
        <v>1911</v>
      </c>
      <c r="M441">
        <v>68689</v>
      </c>
      <c r="N441" s="25">
        <v>13474588</v>
      </c>
      <c r="O441" s="26">
        <v>113</v>
      </c>
      <c r="P441" t="s">
        <v>135</v>
      </c>
    </row>
    <row r="442" spans="1:16" ht="15" customHeight="1" x14ac:dyDescent="0.3">
      <c r="A442" t="s">
        <v>2355</v>
      </c>
      <c r="B442" t="s">
        <v>547</v>
      </c>
      <c r="C442" t="s">
        <v>78</v>
      </c>
      <c r="D442" t="s">
        <v>839</v>
      </c>
      <c r="E442" t="s">
        <v>1549</v>
      </c>
      <c r="F442">
        <v>7.7</v>
      </c>
      <c r="G442">
        <v>83</v>
      </c>
      <c r="H442" t="s">
        <v>2356</v>
      </c>
      <c r="I442" t="s">
        <v>2357</v>
      </c>
      <c r="J442" t="s">
        <v>962</v>
      </c>
      <c r="K442" t="s">
        <v>2358</v>
      </c>
      <c r="L442" t="s">
        <v>2359</v>
      </c>
      <c r="M442">
        <v>323982</v>
      </c>
      <c r="N442" s="25">
        <v>257760692</v>
      </c>
      <c r="O442" s="26">
        <v>100</v>
      </c>
      <c r="P442" t="s">
        <v>572</v>
      </c>
    </row>
    <row r="443" spans="1:16" ht="15" customHeight="1" x14ac:dyDescent="0.3">
      <c r="A443" t="s">
        <v>2360</v>
      </c>
      <c r="B443" t="s">
        <v>389</v>
      </c>
      <c r="C443" t="s">
        <v>88</v>
      </c>
      <c r="D443" t="s">
        <v>642</v>
      </c>
      <c r="E443" t="s">
        <v>71</v>
      </c>
      <c r="F443">
        <v>7.7</v>
      </c>
      <c r="G443">
        <v>83</v>
      </c>
      <c r="H443" t="s">
        <v>2361</v>
      </c>
      <c r="I443" t="s">
        <v>2362</v>
      </c>
      <c r="J443" t="s">
        <v>2363</v>
      </c>
      <c r="K443" t="s">
        <v>2364</v>
      </c>
      <c r="L443" t="s">
        <v>2365</v>
      </c>
      <c r="M443">
        <v>25938</v>
      </c>
      <c r="N443" s="25">
        <v>4890878</v>
      </c>
      <c r="O443" s="26">
        <v>114</v>
      </c>
      <c r="P443" t="s">
        <v>71</v>
      </c>
    </row>
    <row r="444" spans="1:16" ht="15" customHeight="1" x14ac:dyDescent="0.3">
      <c r="A444" t="s">
        <v>2366</v>
      </c>
      <c r="B444" t="s">
        <v>1001</v>
      </c>
      <c r="C444" t="s">
        <v>69</v>
      </c>
      <c r="D444" t="s">
        <v>368</v>
      </c>
      <c r="E444" t="s">
        <v>71</v>
      </c>
      <c r="F444">
        <v>7.6</v>
      </c>
      <c r="G444">
        <v>83</v>
      </c>
      <c r="H444" t="s">
        <v>2367</v>
      </c>
      <c r="I444" t="s">
        <v>2368</v>
      </c>
      <c r="J444" t="s">
        <v>2369</v>
      </c>
      <c r="K444" t="s">
        <v>2370</v>
      </c>
      <c r="L444" t="s">
        <v>2371</v>
      </c>
      <c r="M444">
        <v>35785</v>
      </c>
      <c r="N444" s="25">
        <v>845464</v>
      </c>
      <c r="O444" s="26">
        <v>97</v>
      </c>
      <c r="P444" t="s">
        <v>71</v>
      </c>
    </row>
    <row r="445" spans="1:16" ht="15" customHeight="1" x14ac:dyDescent="0.3">
      <c r="A445" t="s">
        <v>2372</v>
      </c>
      <c r="B445" t="s">
        <v>770</v>
      </c>
      <c r="C445" t="s">
        <v>146</v>
      </c>
      <c r="D445" t="s">
        <v>745</v>
      </c>
      <c r="E445" t="s">
        <v>129</v>
      </c>
      <c r="F445">
        <v>8</v>
      </c>
      <c r="G445">
        <v>83</v>
      </c>
      <c r="H445" t="s">
        <v>2373</v>
      </c>
      <c r="I445" t="s">
        <v>461</v>
      </c>
      <c r="J445" t="s">
        <v>2374</v>
      </c>
      <c r="K445" t="s">
        <v>867</v>
      </c>
      <c r="L445" t="s">
        <v>2375</v>
      </c>
      <c r="M445">
        <v>253676</v>
      </c>
      <c r="N445" s="25">
        <v>104945305</v>
      </c>
      <c r="O445" s="26">
        <v>106</v>
      </c>
      <c r="P445" t="s">
        <v>135</v>
      </c>
    </row>
    <row r="446" spans="1:16" ht="15" customHeight="1" x14ac:dyDescent="0.3">
      <c r="A446" t="s">
        <v>2376</v>
      </c>
      <c r="B446" t="s">
        <v>107</v>
      </c>
      <c r="C446" t="s">
        <v>69</v>
      </c>
      <c r="D446" t="s">
        <v>287</v>
      </c>
      <c r="E446" t="s">
        <v>2377</v>
      </c>
      <c r="F446">
        <v>7.8</v>
      </c>
      <c r="G446">
        <v>83</v>
      </c>
      <c r="H446" t="s">
        <v>1785</v>
      </c>
      <c r="I446" t="s">
        <v>2378</v>
      </c>
      <c r="J446" t="s">
        <v>2379</v>
      </c>
      <c r="K446" t="s">
        <v>2380</v>
      </c>
      <c r="L446" t="s">
        <v>2381</v>
      </c>
      <c r="M446">
        <v>73690</v>
      </c>
      <c r="N446" s="25">
        <v>5209580</v>
      </c>
      <c r="O446" s="26">
        <v>126</v>
      </c>
      <c r="P446" t="s">
        <v>572</v>
      </c>
    </row>
    <row r="447" spans="1:16" ht="15" customHeight="1" x14ac:dyDescent="0.3">
      <c r="A447" t="s">
        <v>2382</v>
      </c>
      <c r="B447" t="s">
        <v>294</v>
      </c>
      <c r="C447" t="s">
        <v>99</v>
      </c>
      <c r="D447" t="s">
        <v>376</v>
      </c>
      <c r="E447" t="s">
        <v>450</v>
      </c>
      <c r="F447">
        <v>7.8</v>
      </c>
      <c r="G447">
        <v>83</v>
      </c>
      <c r="H447" t="s">
        <v>1652</v>
      </c>
      <c r="I447" t="s">
        <v>1237</v>
      </c>
      <c r="J447" t="s">
        <v>963</v>
      </c>
      <c r="K447" t="s">
        <v>1273</v>
      </c>
      <c r="L447" t="s">
        <v>2383</v>
      </c>
      <c r="M447">
        <v>1118998</v>
      </c>
      <c r="N447" s="25">
        <v>760507625</v>
      </c>
      <c r="O447" s="26">
        <v>162</v>
      </c>
      <c r="P447" t="s">
        <v>96</v>
      </c>
    </row>
    <row r="448" spans="1:16" ht="15" customHeight="1" x14ac:dyDescent="0.3">
      <c r="A448" t="s">
        <v>2384</v>
      </c>
      <c r="B448" t="s">
        <v>68</v>
      </c>
      <c r="C448" t="s">
        <v>88</v>
      </c>
      <c r="D448" t="s">
        <v>886</v>
      </c>
      <c r="E448" t="s">
        <v>2077</v>
      </c>
      <c r="F448">
        <v>7.8</v>
      </c>
      <c r="G448">
        <v>83</v>
      </c>
      <c r="H448" t="s">
        <v>1931</v>
      </c>
      <c r="I448" t="s">
        <v>630</v>
      </c>
      <c r="J448" t="s">
        <v>2385</v>
      </c>
      <c r="K448" t="s">
        <v>2386</v>
      </c>
      <c r="L448" t="s">
        <v>1965</v>
      </c>
      <c r="M448">
        <v>60684</v>
      </c>
      <c r="N448" s="25">
        <v>2892011</v>
      </c>
      <c r="O448" s="26">
        <v>99</v>
      </c>
      <c r="P448" t="s">
        <v>572</v>
      </c>
    </row>
    <row r="449" spans="1:16" ht="15" customHeight="1" x14ac:dyDescent="0.3">
      <c r="A449" t="s">
        <v>2387</v>
      </c>
      <c r="B449" t="s">
        <v>189</v>
      </c>
      <c r="C449" t="s">
        <v>146</v>
      </c>
      <c r="D449" t="s">
        <v>138</v>
      </c>
      <c r="E449" t="s">
        <v>71</v>
      </c>
      <c r="F449">
        <v>8.1</v>
      </c>
      <c r="G449">
        <v>83</v>
      </c>
      <c r="H449" t="s">
        <v>1509</v>
      </c>
      <c r="I449" t="s">
        <v>429</v>
      </c>
      <c r="J449" t="s">
        <v>2388</v>
      </c>
      <c r="K449" t="s">
        <v>2389</v>
      </c>
      <c r="L449" t="s">
        <v>2390</v>
      </c>
      <c r="M449">
        <v>634716</v>
      </c>
      <c r="N449" s="25">
        <v>16501785</v>
      </c>
      <c r="O449" s="26">
        <v>93</v>
      </c>
      <c r="P449" t="s">
        <v>71</v>
      </c>
    </row>
    <row r="450" spans="1:16" ht="15" customHeight="1" x14ac:dyDescent="0.3">
      <c r="A450" t="s">
        <v>2391</v>
      </c>
      <c r="B450" t="s">
        <v>818</v>
      </c>
      <c r="C450" t="s">
        <v>88</v>
      </c>
      <c r="D450" t="s">
        <v>1882</v>
      </c>
      <c r="E450" t="s">
        <v>129</v>
      </c>
      <c r="F450">
        <v>7.9</v>
      </c>
      <c r="G450">
        <v>83</v>
      </c>
      <c r="H450" t="s">
        <v>1705</v>
      </c>
      <c r="I450" t="s">
        <v>1705</v>
      </c>
      <c r="J450" t="s">
        <v>534</v>
      </c>
      <c r="K450" t="s">
        <v>2392</v>
      </c>
      <c r="L450" t="s">
        <v>2393</v>
      </c>
      <c r="M450">
        <v>131436</v>
      </c>
      <c r="N450" s="25">
        <v>45700000</v>
      </c>
      <c r="O450" s="26">
        <v>96</v>
      </c>
      <c r="P450" t="s">
        <v>135</v>
      </c>
    </row>
    <row r="451" spans="1:16" ht="15" customHeight="1" x14ac:dyDescent="0.3">
      <c r="A451" t="s">
        <v>2394</v>
      </c>
      <c r="B451" t="s">
        <v>457</v>
      </c>
      <c r="C451" t="s">
        <v>78</v>
      </c>
      <c r="D451" t="s">
        <v>190</v>
      </c>
      <c r="E451" t="s">
        <v>263</v>
      </c>
      <c r="F451">
        <v>8.3000000000000007</v>
      </c>
      <c r="G451">
        <v>83</v>
      </c>
      <c r="H451" t="s">
        <v>864</v>
      </c>
      <c r="I451" t="s">
        <v>865</v>
      </c>
      <c r="J451" t="s">
        <v>866</v>
      </c>
      <c r="K451" t="s">
        <v>1348</v>
      </c>
      <c r="L451" t="s">
        <v>2395</v>
      </c>
      <c r="M451">
        <v>241513</v>
      </c>
      <c r="N451" s="25">
        <v>159600000</v>
      </c>
      <c r="O451" s="26">
        <v>129</v>
      </c>
      <c r="P451" t="s">
        <v>135</v>
      </c>
    </row>
    <row r="452" spans="1:16" ht="15" customHeight="1" x14ac:dyDescent="0.3">
      <c r="A452" t="s">
        <v>2396</v>
      </c>
      <c r="B452" t="s">
        <v>457</v>
      </c>
      <c r="C452" t="s">
        <v>146</v>
      </c>
      <c r="D452" t="s">
        <v>1084</v>
      </c>
      <c r="E452" t="s">
        <v>90</v>
      </c>
      <c r="F452">
        <v>7.7</v>
      </c>
      <c r="G452">
        <v>83</v>
      </c>
      <c r="H452" t="s">
        <v>2397</v>
      </c>
      <c r="I452" t="s">
        <v>2398</v>
      </c>
      <c r="J452" t="s">
        <v>2399</v>
      </c>
      <c r="K452" t="s">
        <v>2400</v>
      </c>
      <c r="L452" t="s">
        <v>2401</v>
      </c>
      <c r="M452">
        <v>96561</v>
      </c>
      <c r="N452" s="25">
        <v>25000000</v>
      </c>
      <c r="O452" s="26">
        <v>102</v>
      </c>
      <c r="P452" t="s">
        <v>96</v>
      </c>
    </row>
    <row r="453" spans="1:16" ht="15" customHeight="1" x14ac:dyDescent="0.3">
      <c r="A453" t="s">
        <v>2402</v>
      </c>
      <c r="B453" t="s">
        <v>818</v>
      </c>
      <c r="C453" t="s">
        <v>127</v>
      </c>
      <c r="D453" t="s">
        <v>108</v>
      </c>
      <c r="E453" t="s">
        <v>905</v>
      </c>
      <c r="F453">
        <v>8</v>
      </c>
      <c r="G453">
        <v>83</v>
      </c>
      <c r="H453" t="s">
        <v>2403</v>
      </c>
      <c r="I453" t="s">
        <v>2404</v>
      </c>
      <c r="J453" t="s">
        <v>2405</v>
      </c>
      <c r="K453" t="s">
        <v>1300</v>
      </c>
      <c r="L453" t="s">
        <v>2406</v>
      </c>
      <c r="M453">
        <v>65625</v>
      </c>
      <c r="N453" s="25">
        <v>30177511</v>
      </c>
      <c r="O453" s="26">
        <v>130</v>
      </c>
      <c r="P453" t="s">
        <v>135</v>
      </c>
    </row>
    <row r="454" spans="1:16" ht="15" customHeight="1" x14ac:dyDescent="0.3">
      <c r="A454" t="s">
        <v>2407</v>
      </c>
      <c r="B454" t="s">
        <v>77</v>
      </c>
      <c r="C454" t="s">
        <v>146</v>
      </c>
      <c r="D454" t="s">
        <v>1655</v>
      </c>
      <c r="E454" t="s">
        <v>820</v>
      </c>
      <c r="F454">
        <v>8</v>
      </c>
      <c r="G454">
        <v>83</v>
      </c>
      <c r="H454" t="s">
        <v>1003</v>
      </c>
      <c r="I454" t="s">
        <v>746</v>
      </c>
      <c r="J454" t="s">
        <v>1145</v>
      </c>
      <c r="K454" t="s">
        <v>1147</v>
      </c>
      <c r="L454" t="s">
        <v>1146</v>
      </c>
      <c r="M454">
        <v>683900</v>
      </c>
      <c r="N454" s="25">
        <v>66208183</v>
      </c>
      <c r="O454" s="26">
        <v>137</v>
      </c>
      <c r="P454" t="s">
        <v>96</v>
      </c>
    </row>
    <row r="455" spans="1:16" ht="15" customHeight="1" x14ac:dyDescent="0.3">
      <c r="A455" t="s">
        <v>2408</v>
      </c>
      <c r="B455" t="s">
        <v>294</v>
      </c>
      <c r="C455" t="s">
        <v>127</v>
      </c>
      <c r="D455" t="s">
        <v>2409</v>
      </c>
      <c r="E455" t="s">
        <v>1241</v>
      </c>
      <c r="F455">
        <v>7.9</v>
      </c>
      <c r="G455">
        <v>83</v>
      </c>
      <c r="H455" t="s">
        <v>1813</v>
      </c>
      <c r="I455" t="s">
        <v>1112</v>
      </c>
      <c r="J455" t="s">
        <v>1128</v>
      </c>
      <c r="K455" t="s">
        <v>1272</v>
      </c>
      <c r="L455" t="s">
        <v>2410</v>
      </c>
      <c r="M455">
        <v>199696</v>
      </c>
      <c r="N455" s="25">
        <v>21002919</v>
      </c>
      <c r="O455" s="26">
        <v>87</v>
      </c>
      <c r="P455" t="s">
        <v>572</v>
      </c>
    </row>
    <row r="456" spans="1:16" ht="15" customHeight="1" x14ac:dyDescent="0.3">
      <c r="A456" t="s">
        <v>2411</v>
      </c>
      <c r="B456" t="s">
        <v>471</v>
      </c>
      <c r="C456" t="s">
        <v>146</v>
      </c>
      <c r="D456" t="s">
        <v>879</v>
      </c>
      <c r="E456" t="s">
        <v>905</v>
      </c>
      <c r="F456">
        <v>7.6</v>
      </c>
      <c r="G456">
        <v>83</v>
      </c>
      <c r="H456" t="s">
        <v>1003</v>
      </c>
      <c r="I456" t="s">
        <v>702</v>
      </c>
      <c r="J456" t="s">
        <v>227</v>
      </c>
      <c r="K456" t="s">
        <v>1671</v>
      </c>
      <c r="L456" t="s">
        <v>1437</v>
      </c>
      <c r="M456">
        <v>551309</v>
      </c>
      <c r="N456" s="25">
        <v>142502728</v>
      </c>
      <c r="O456" s="26">
        <v>161</v>
      </c>
      <c r="P456" t="s">
        <v>135</v>
      </c>
    </row>
    <row r="457" spans="1:16" ht="15" customHeight="1" x14ac:dyDescent="0.3">
      <c r="A457" t="s">
        <v>2412</v>
      </c>
      <c r="B457" t="s">
        <v>465</v>
      </c>
      <c r="C457" t="s">
        <v>78</v>
      </c>
      <c r="D457" t="s">
        <v>368</v>
      </c>
      <c r="E457" t="s">
        <v>2413</v>
      </c>
      <c r="F457">
        <v>7.7</v>
      </c>
      <c r="G457">
        <v>83</v>
      </c>
      <c r="H457" t="s">
        <v>2297</v>
      </c>
      <c r="I457" t="s">
        <v>2414</v>
      </c>
      <c r="J457" t="s">
        <v>2415</v>
      </c>
      <c r="K457" t="s">
        <v>2416</v>
      </c>
      <c r="L457" t="s">
        <v>2417</v>
      </c>
      <c r="M457">
        <v>32236</v>
      </c>
      <c r="N457" s="25">
        <v>10019307</v>
      </c>
      <c r="O457" s="26">
        <v>97</v>
      </c>
      <c r="P457" t="s">
        <v>71</v>
      </c>
    </row>
    <row r="458" spans="1:16" ht="15" customHeight="1" x14ac:dyDescent="0.3">
      <c r="A458" t="s">
        <v>2418</v>
      </c>
      <c r="B458" t="s">
        <v>2419</v>
      </c>
      <c r="C458" t="s">
        <v>146</v>
      </c>
      <c r="D458" t="s">
        <v>539</v>
      </c>
      <c r="E458" t="s">
        <v>71</v>
      </c>
      <c r="F458">
        <v>8.6999999999999993</v>
      </c>
      <c r="G458">
        <v>83</v>
      </c>
      <c r="H458" t="s">
        <v>2420</v>
      </c>
      <c r="I458" t="s">
        <v>613</v>
      </c>
      <c r="J458" t="s">
        <v>2421</v>
      </c>
      <c r="K458" t="s">
        <v>2422</v>
      </c>
      <c r="L458" t="s">
        <v>2423</v>
      </c>
      <c r="M458">
        <v>918088</v>
      </c>
      <c r="N458" s="25">
        <v>112000000</v>
      </c>
      <c r="O458" s="26">
        <v>133</v>
      </c>
      <c r="P458" t="s">
        <v>71</v>
      </c>
    </row>
    <row r="459" spans="1:16" ht="15" customHeight="1" x14ac:dyDescent="0.3">
      <c r="A459" t="s">
        <v>2424</v>
      </c>
      <c r="B459" t="s">
        <v>68</v>
      </c>
      <c r="C459" t="s">
        <v>88</v>
      </c>
      <c r="D459" t="s">
        <v>1664</v>
      </c>
      <c r="E459" t="s">
        <v>472</v>
      </c>
      <c r="F459">
        <v>7.9</v>
      </c>
      <c r="G459">
        <v>84</v>
      </c>
      <c r="H459" t="s">
        <v>2425</v>
      </c>
      <c r="I459" t="s">
        <v>2426</v>
      </c>
      <c r="J459" t="s">
        <v>2427</v>
      </c>
      <c r="K459" t="s">
        <v>2428</v>
      </c>
      <c r="L459" t="s">
        <v>2429</v>
      </c>
      <c r="M459">
        <v>44618</v>
      </c>
      <c r="N459" s="25">
        <v>1059830</v>
      </c>
      <c r="O459" s="26">
        <v>98</v>
      </c>
      <c r="P459" t="s">
        <v>135</v>
      </c>
    </row>
    <row r="460" spans="1:16" ht="15" customHeight="1" x14ac:dyDescent="0.3">
      <c r="A460" t="s">
        <v>2430</v>
      </c>
      <c r="B460" t="s">
        <v>779</v>
      </c>
      <c r="C460" t="s">
        <v>127</v>
      </c>
      <c r="D460" t="s">
        <v>360</v>
      </c>
      <c r="E460" t="s">
        <v>1549</v>
      </c>
      <c r="F460">
        <v>7.8</v>
      </c>
      <c r="G460">
        <v>84</v>
      </c>
      <c r="H460" t="s">
        <v>2431</v>
      </c>
      <c r="I460" t="s">
        <v>2432</v>
      </c>
      <c r="J460" t="s">
        <v>2433</v>
      </c>
      <c r="K460" t="s">
        <v>1638</v>
      </c>
      <c r="L460" t="s">
        <v>2434</v>
      </c>
      <c r="M460">
        <v>118035</v>
      </c>
      <c r="N460" s="25">
        <v>48023088</v>
      </c>
      <c r="O460" s="26">
        <v>101</v>
      </c>
      <c r="P460" t="s">
        <v>572</v>
      </c>
    </row>
    <row r="461" spans="1:16" ht="15" customHeight="1" x14ac:dyDescent="0.3">
      <c r="A461" t="s">
        <v>2435</v>
      </c>
      <c r="B461" t="s">
        <v>2021</v>
      </c>
      <c r="C461" t="s">
        <v>78</v>
      </c>
      <c r="D461" t="s">
        <v>1023</v>
      </c>
      <c r="E461" t="s">
        <v>2022</v>
      </c>
      <c r="F461">
        <v>8.3000000000000007</v>
      </c>
      <c r="G461">
        <v>84</v>
      </c>
      <c r="H461" t="s">
        <v>919</v>
      </c>
      <c r="I461" t="s">
        <v>2436</v>
      </c>
      <c r="J461" t="s">
        <v>2437</v>
      </c>
      <c r="K461" t="s">
        <v>2438</v>
      </c>
      <c r="L461" t="s">
        <v>2439</v>
      </c>
      <c r="M461">
        <v>603517</v>
      </c>
      <c r="N461" s="25">
        <v>56954992</v>
      </c>
      <c r="O461" s="26">
        <v>149</v>
      </c>
      <c r="P461" t="s">
        <v>124</v>
      </c>
    </row>
    <row r="462" spans="1:16" ht="15" customHeight="1" x14ac:dyDescent="0.3">
      <c r="A462" t="s">
        <v>2440</v>
      </c>
      <c r="B462" t="s">
        <v>164</v>
      </c>
      <c r="C462" t="s">
        <v>99</v>
      </c>
      <c r="D462" t="s">
        <v>539</v>
      </c>
      <c r="E462" t="s">
        <v>280</v>
      </c>
      <c r="F462">
        <v>8.1</v>
      </c>
      <c r="G462">
        <v>84</v>
      </c>
      <c r="H462" t="s">
        <v>1807</v>
      </c>
      <c r="I462" t="s">
        <v>1828</v>
      </c>
      <c r="J462" t="s">
        <v>2441</v>
      </c>
      <c r="K462" t="s">
        <v>2442</v>
      </c>
      <c r="L462" t="s">
        <v>2443</v>
      </c>
      <c r="M462">
        <v>156842</v>
      </c>
      <c r="N462" s="25">
        <v>25010410</v>
      </c>
      <c r="O462" s="26">
        <v>133</v>
      </c>
      <c r="P462" t="s">
        <v>204</v>
      </c>
    </row>
    <row r="463" spans="1:16" ht="15" customHeight="1" x14ac:dyDescent="0.3">
      <c r="A463" t="s">
        <v>2444</v>
      </c>
      <c r="B463" t="s">
        <v>137</v>
      </c>
      <c r="C463" t="s">
        <v>146</v>
      </c>
      <c r="D463" t="s">
        <v>612</v>
      </c>
      <c r="E463" t="s">
        <v>191</v>
      </c>
      <c r="F463">
        <v>7.9</v>
      </c>
      <c r="G463">
        <v>84</v>
      </c>
      <c r="H463" t="s">
        <v>242</v>
      </c>
      <c r="I463" t="s">
        <v>72</v>
      </c>
      <c r="J463" t="s">
        <v>2104</v>
      </c>
      <c r="K463" t="s">
        <v>226</v>
      </c>
      <c r="L463" t="s">
        <v>2445</v>
      </c>
      <c r="M463">
        <v>419420</v>
      </c>
      <c r="N463" s="25">
        <v>90135191</v>
      </c>
      <c r="O463" s="26">
        <v>138</v>
      </c>
      <c r="P463" t="s">
        <v>172</v>
      </c>
    </row>
    <row r="464" spans="1:16" ht="15" customHeight="1" x14ac:dyDescent="0.3">
      <c r="A464" t="s">
        <v>2446</v>
      </c>
      <c r="B464" t="s">
        <v>98</v>
      </c>
      <c r="C464" t="s">
        <v>99</v>
      </c>
      <c r="D464" t="s">
        <v>738</v>
      </c>
      <c r="E464" t="s">
        <v>90</v>
      </c>
      <c r="F464">
        <v>9</v>
      </c>
      <c r="G464">
        <v>84</v>
      </c>
      <c r="H464" t="s">
        <v>847</v>
      </c>
      <c r="I464" t="s">
        <v>590</v>
      </c>
      <c r="J464" t="s">
        <v>2447</v>
      </c>
      <c r="K464" t="s">
        <v>2448</v>
      </c>
      <c r="L464" t="s">
        <v>551</v>
      </c>
      <c r="M464">
        <v>2303232</v>
      </c>
      <c r="N464" s="25">
        <v>534858444</v>
      </c>
      <c r="O464" s="26">
        <v>152</v>
      </c>
      <c r="P464" t="s">
        <v>96</v>
      </c>
    </row>
    <row r="465" spans="1:16" ht="15" customHeight="1" x14ac:dyDescent="0.3">
      <c r="A465" t="s">
        <v>2449</v>
      </c>
      <c r="B465" t="s">
        <v>270</v>
      </c>
      <c r="C465" t="s">
        <v>146</v>
      </c>
      <c r="D465" t="s">
        <v>410</v>
      </c>
      <c r="E465" t="s">
        <v>1637</v>
      </c>
      <c r="F465">
        <v>7.9</v>
      </c>
      <c r="G465">
        <v>84</v>
      </c>
      <c r="H465" t="s">
        <v>2297</v>
      </c>
      <c r="I465" t="s">
        <v>1939</v>
      </c>
      <c r="J465" t="s">
        <v>999</v>
      </c>
      <c r="K465" t="s">
        <v>1627</v>
      </c>
      <c r="L465" t="s">
        <v>551</v>
      </c>
      <c r="M465">
        <v>465113</v>
      </c>
      <c r="N465" s="25">
        <v>35552383</v>
      </c>
      <c r="O465" s="26">
        <v>109</v>
      </c>
      <c r="P465" t="s">
        <v>124</v>
      </c>
    </row>
    <row r="466" spans="1:16" ht="15" customHeight="1" x14ac:dyDescent="0.3">
      <c r="A466" t="s">
        <v>2450</v>
      </c>
      <c r="B466" t="s">
        <v>471</v>
      </c>
      <c r="C466" t="s">
        <v>78</v>
      </c>
      <c r="D466" t="s">
        <v>839</v>
      </c>
      <c r="E466" t="s">
        <v>1241</v>
      </c>
      <c r="F466">
        <v>7.8</v>
      </c>
      <c r="G466">
        <v>84</v>
      </c>
      <c r="H466" t="s">
        <v>2451</v>
      </c>
      <c r="I466" t="s">
        <v>578</v>
      </c>
      <c r="J466" t="s">
        <v>2452</v>
      </c>
      <c r="K466" t="s">
        <v>2453</v>
      </c>
      <c r="L466" t="s">
        <v>2454</v>
      </c>
      <c r="M466">
        <v>203177</v>
      </c>
      <c r="N466" s="25">
        <v>434038008</v>
      </c>
      <c r="O466" s="26">
        <v>100</v>
      </c>
      <c r="P466" t="s">
        <v>572</v>
      </c>
    </row>
    <row r="467" spans="1:16" ht="15" customHeight="1" x14ac:dyDescent="0.3">
      <c r="A467" t="s">
        <v>2455</v>
      </c>
      <c r="B467" t="s">
        <v>2456</v>
      </c>
      <c r="C467" t="s">
        <v>146</v>
      </c>
      <c r="D467" t="s">
        <v>418</v>
      </c>
      <c r="E467" t="s">
        <v>71</v>
      </c>
      <c r="F467">
        <v>8</v>
      </c>
      <c r="G467">
        <v>84</v>
      </c>
      <c r="H467" t="s">
        <v>2457</v>
      </c>
      <c r="I467" t="s">
        <v>2458</v>
      </c>
      <c r="J467" t="s">
        <v>865</v>
      </c>
      <c r="K467" t="s">
        <v>2459</v>
      </c>
      <c r="L467" t="s">
        <v>2460</v>
      </c>
      <c r="M467">
        <v>45062</v>
      </c>
      <c r="N467" s="25">
        <v>17570324</v>
      </c>
      <c r="O467" s="26">
        <v>108</v>
      </c>
      <c r="P467" t="s">
        <v>71</v>
      </c>
    </row>
    <row r="468" spans="1:16" ht="15" customHeight="1" x14ac:dyDescent="0.3">
      <c r="A468" t="s">
        <v>2461</v>
      </c>
      <c r="B468" t="s">
        <v>641</v>
      </c>
      <c r="C468" t="s">
        <v>78</v>
      </c>
      <c r="D468" t="s">
        <v>70</v>
      </c>
      <c r="E468" t="s">
        <v>2222</v>
      </c>
      <c r="F468">
        <v>7.9</v>
      </c>
      <c r="G468">
        <v>84</v>
      </c>
      <c r="H468" t="s">
        <v>119</v>
      </c>
      <c r="I468" t="s">
        <v>2462</v>
      </c>
      <c r="J468" t="s">
        <v>2463</v>
      </c>
      <c r="K468" t="s">
        <v>225</v>
      </c>
      <c r="L468" t="s">
        <v>2464</v>
      </c>
      <c r="M468">
        <v>187567</v>
      </c>
      <c r="N468" s="25">
        <v>9929135</v>
      </c>
      <c r="O468" s="26">
        <v>132</v>
      </c>
      <c r="P468" t="s">
        <v>71</v>
      </c>
    </row>
    <row r="469" spans="1:16" ht="15" customHeight="1" x14ac:dyDescent="0.3">
      <c r="A469" t="s">
        <v>2465</v>
      </c>
      <c r="B469" t="s">
        <v>434</v>
      </c>
      <c r="C469" t="s">
        <v>146</v>
      </c>
      <c r="D469" t="s">
        <v>262</v>
      </c>
      <c r="E469" t="s">
        <v>129</v>
      </c>
      <c r="F469">
        <v>7.8</v>
      </c>
      <c r="G469">
        <v>84</v>
      </c>
      <c r="H469" t="s">
        <v>1813</v>
      </c>
      <c r="I469" t="s">
        <v>2466</v>
      </c>
      <c r="J469" t="s">
        <v>2467</v>
      </c>
      <c r="K469" t="s">
        <v>289</v>
      </c>
      <c r="L469" t="s">
        <v>1272</v>
      </c>
      <c r="M469">
        <v>318789</v>
      </c>
      <c r="N469" s="25">
        <v>45512466</v>
      </c>
      <c r="O469" s="26">
        <v>94</v>
      </c>
      <c r="P469" t="s">
        <v>135</v>
      </c>
    </row>
    <row r="470" spans="1:16" ht="15" customHeight="1" x14ac:dyDescent="0.3">
      <c r="A470" t="s">
        <v>2468</v>
      </c>
      <c r="B470" t="s">
        <v>779</v>
      </c>
      <c r="C470" t="s">
        <v>146</v>
      </c>
      <c r="D470" t="s">
        <v>1283</v>
      </c>
      <c r="E470" t="s">
        <v>2469</v>
      </c>
      <c r="F470">
        <v>8.1</v>
      </c>
      <c r="G470">
        <v>84</v>
      </c>
      <c r="H470" t="s">
        <v>390</v>
      </c>
      <c r="I470" t="s">
        <v>2470</v>
      </c>
      <c r="J470" t="s">
        <v>2471</v>
      </c>
      <c r="K470" t="s">
        <v>2472</v>
      </c>
      <c r="L470" t="s">
        <v>2473</v>
      </c>
      <c r="M470">
        <v>113649</v>
      </c>
      <c r="N470" s="25">
        <v>2006788</v>
      </c>
      <c r="O470" s="26">
        <v>145</v>
      </c>
      <c r="P470" t="s">
        <v>71</v>
      </c>
    </row>
    <row r="471" spans="1:16" ht="15" customHeight="1" x14ac:dyDescent="0.3">
      <c r="A471" t="s">
        <v>2474</v>
      </c>
      <c r="B471" t="s">
        <v>164</v>
      </c>
      <c r="C471" t="s">
        <v>78</v>
      </c>
      <c r="D471" t="s">
        <v>207</v>
      </c>
      <c r="E471" t="s">
        <v>301</v>
      </c>
      <c r="F471">
        <v>7.8</v>
      </c>
      <c r="G471">
        <v>84</v>
      </c>
      <c r="H471" t="s">
        <v>2475</v>
      </c>
      <c r="I471" t="s">
        <v>1007</v>
      </c>
      <c r="J471" t="s">
        <v>2476</v>
      </c>
      <c r="K471" t="s">
        <v>2477</v>
      </c>
      <c r="L471" t="s">
        <v>2478</v>
      </c>
      <c r="M471">
        <v>66065</v>
      </c>
      <c r="N471" s="25">
        <v>22954968</v>
      </c>
      <c r="O471" s="26">
        <v>134</v>
      </c>
      <c r="P471" t="s">
        <v>71</v>
      </c>
    </row>
    <row r="472" spans="1:16" ht="15" customHeight="1" x14ac:dyDescent="0.3">
      <c r="A472" t="s">
        <v>2479</v>
      </c>
      <c r="B472" t="s">
        <v>68</v>
      </c>
      <c r="C472" t="s">
        <v>78</v>
      </c>
      <c r="D472" t="s">
        <v>2480</v>
      </c>
      <c r="E472" t="s">
        <v>2481</v>
      </c>
      <c r="F472">
        <v>8.1</v>
      </c>
      <c r="G472">
        <v>84</v>
      </c>
      <c r="H472" t="s">
        <v>2482</v>
      </c>
      <c r="I472" t="s">
        <v>968</v>
      </c>
      <c r="J472" t="s">
        <v>2483</v>
      </c>
      <c r="K472" t="s">
        <v>2484</v>
      </c>
      <c r="L472" t="s">
        <v>2485</v>
      </c>
      <c r="M472">
        <v>105036</v>
      </c>
      <c r="N472" s="25">
        <v>70147</v>
      </c>
      <c r="O472" s="26">
        <v>224</v>
      </c>
      <c r="P472" t="s">
        <v>124</v>
      </c>
    </row>
    <row r="473" spans="1:16" ht="15" customHeight="1" x14ac:dyDescent="0.3">
      <c r="A473" t="s">
        <v>2486</v>
      </c>
      <c r="B473" t="s">
        <v>574</v>
      </c>
      <c r="C473" t="s">
        <v>99</v>
      </c>
      <c r="D473" t="s">
        <v>490</v>
      </c>
      <c r="E473" t="s">
        <v>71</v>
      </c>
      <c r="F473">
        <v>8.3000000000000007</v>
      </c>
      <c r="G473">
        <v>84</v>
      </c>
      <c r="H473" t="s">
        <v>1380</v>
      </c>
      <c r="I473" t="s">
        <v>815</v>
      </c>
      <c r="J473" t="s">
        <v>2487</v>
      </c>
      <c r="K473" t="s">
        <v>2488</v>
      </c>
      <c r="L473" t="s">
        <v>2489</v>
      </c>
      <c r="M473">
        <v>1069738</v>
      </c>
      <c r="N473" s="25">
        <v>130096601</v>
      </c>
      <c r="O473" s="26">
        <v>122</v>
      </c>
      <c r="P473" t="s">
        <v>71</v>
      </c>
    </row>
    <row r="474" spans="1:16" ht="15" customHeight="1" x14ac:dyDescent="0.3">
      <c r="A474" t="s">
        <v>2490</v>
      </c>
      <c r="B474" t="s">
        <v>465</v>
      </c>
      <c r="C474" t="s">
        <v>78</v>
      </c>
      <c r="D474" t="s">
        <v>960</v>
      </c>
      <c r="E474" t="s">
        <v>301</v>
      </c>
      <c r="F474">
        <v>7.6</v>
      </c>
      <c r="G474">
        <v>84</v>
      </c>
      <c r="H474" t="s">
        <v>2065</v>
      </c>
      <c r="I474" t="s">
        <v>2476</v>
      </c>
      <c r="J474" t="s">
        <v>942</v>
      </c>
      <c r="K474" t="s">
        <v>2491</v>
      </c>
      <c r="L474" t="s">
        <v>2492</v>
      </c>
      <c r="M474">
        <v>102598</v>
      </c>
      <c r="N474" s="25">
        <v>43182776</v>
      </c>
      <c r="O474" s="26">
        <v>136</v>
      </c>
      <c r="P474" t="s">
        <v>71</v>
      </c>
    </row>
    <row r="475" spans="1:16" ht="15" customHeight="1" x14ac:dyDescent="0.3">
      <c r="A475" t="s">
        <v>2493</v>
      </c>
      <c r="B475" t="s">
        <v>180</v>
      </c>
      <c r="C475" t="s">
        <v>99</v>
      </c>
      <c r="D475" t="s">
        <v>271</v>
      </c>
      <c r="E475" t="s">
        <v>2256</v>
      </c>
      <c r="F475">
        <v>8.1</v>
      </c>
      <c r="G475">
        <v>84</v>
      </c>
      <c r="H475" t="s">
        <v>925</v>
      </c>
      <c r="I475" t="s">
        <v>453</v>
      </c>
      <c r="J475" t="s">
        <v>2494</v>
      </c>
      <c r="K475" t="s">
        <v>2495</v>
      </c>
      <c r="L475" t="s">
        <v>2496</v>
      </c>
      <c r="M475">
        <v>693827</v>
      </c>
      <c r="N475" s="25">
        <v>32868943</v>
      </c>
      <c r="O475" s="26">
        <v>117</v>
      </c>
      <c r="P475" t="s">
        <v>96</v>
      </c>
    </row>
    <row r="476" spans="1:16" ht="15" customHeight="1" x14ac:dyDescent="0.3">
      <c r="A476" t="s">
        <v>2497</v>
      </c>
      <c r="B476" t="s">
        <v>574</v>
      </c>
      <c r="C476" t="s">
        <v>99</v>
      </c>
      <c r="D476" t="s">
        <v>1741</v>
      </c>
      <c r="E476" t="s">
        <v>1491</v>
      </c>
      <c r="F476">
        <v>7.8</v>
      </c>
      <c r="G476">
        <v>84</v>
      </c>
      <c r="H476" t="s">
        <v>1790</v>
      </c>
      <c r="I476" t="s">
        <v>926</v>
      </c>
      <c r="J476" t="s">
        <v>505</v>
      </c>
      <c r="K476" t="s">
        <v>691</v>
      </c>
      <c r="L476" t="s">
        <v>2498</v>
      </c>
      <c r="M476">
        <v>159886</v>
      </c>
      <c r="N476" s="25">
        <v>28965197</v>
      </c>
      <c r="O476" s="26">
        <v>157</v>
      </c>
      <c r="P476" t="s">
        <v>204</v>
      </c>
    </row>
    <row r="477" spans="1:16" ht="15" customHeight="1" x14ac:dyDescent="0.3">
      <c r="A477" t="s">
        <v>2499</v>
      </c>
      <c r="B477" t="s">
        <v>68</v>
      </c>
      <c r="C477" t="s">
        <v>78</v>
      </c>
      <c r="D477" t="s">
        <v>128</v>
      </c>
      <c r="E477" t="s">
        <v>1241</v>
      </c>
      <c r="F477">
        <v>7.8</v>
      </c>
      <c r="G477">
        <v>84</v>
      </c>
      <c r="H477" t="s">
        <v>2500</v>
      </c>
      <c r="I477" t="s">
        <v>2501</v>
      </c>
      <c r="J477" t="s">
        <v>2502</v>
      </c>
      <c r="K477" t="s">
        <v>1295</v>
      </c>
      <c r="L477" t="s">
        <v>2503</v>
      </c>
      <c r="M477">
        <v>613941</v>
      </c>
      <c r="N477" s="25">
        <v>267665011</v>
      </c>
      <c r="O477" s="26">
        <v>90</v>
      </c>
      <c r="P477" t="s">
        <v>572</v>
      </c>
    </row>
    <row r="478" spans="1:16" ht="15" customHeight="1" x14ac:dyDescent="0.3">
      <c r="A478" t="s">
        <v>2504</v>
      </c>
      <c r="B478" t="s">
        <v>1106</v>
      </c>
      <c r="C478" t="s">
        <v>78</v>
      </c>
      <c r="D478" t="s">
        <v>612</v>
      </c>
      <c r="E478" t="s">
        <v>1057</v>
      </c>
      <c r="F478">
        <v>7.9</v>
      </c>
      <c r="G478">
        <v>84</v>
      </c>
      <c r="H478" t="s">
        <v>2505</v>
      </c>
      <c r="I478" t="s">
        <v>461</v>
      </c>
      <c r="J478" t="s">
        <v>866</v>
      </c>
      <c r="K478" t="s">
        <v>2406</v>
      </c>
      <c r="L478" t="s">
        <v>2506</v>
      </c>
      <c r="M478">
        <v>103031</v>
      </c>
      <c r="N478" s="25">
        <v>70600000</v>
      </c>
      <c r="O478" s="26">
        <v>138</v>
      </c>
      <c r="P478" t="s">
        <v>204</v>
      </c>
    </row>
    <row r="479" spans="1:16" ht="15" customHeight="1" x14ac:dyDescent="0.3">
      <c r="A479" t="s">
        <v>2507</v>
      </c>
      <c r="B479" t="s">
        <v>145</v>
      </c>
      <c r="C479" t="s">
        <v>88</v>
      </c>
      <c r="D479" t="s">
        <v>147</v>
      </c>
      <c r="E479" t="s">
        <v>905</v>
      </c>
      <c r="F479">
        <v>7.7</v>
      </c>
      <c r="G479">
        <v>84</v>
      </c>
      <c r="H479" t="s">
        <v>2508</v>
      </c>
      <c r="I479" t="s">
        <v>2509</v>
      </c>
      <c r="J479" t="s">
        <v>2510</v>
      </c>
      <c r="K479" t="s">
        <v>2298</v>
      </c>
      <c r="L479" t="s">
        <v>2511</v>
      </c>
      <c r="M479">
        <v>40396</v>
      </c>
      <c r="N479" s="25">
        <v>1544889</v>
      </c>
      <c r="O479" s="26">
        <v>107</v>
      </c>
      <c r="P479" t="s">
        <v>135</v>
      </c>
    </row>
    <row r="480" spans="1:16" ht="15" customHeight="1" x14ac:dyDescent="0.3">
      <c r="A480" t="s">
        <v>2512</v>
      </c>
      <c r="B480" t="s">
        <v>1268</v>
      </c>
      <c r="C480" t="s">
        <v>99</v>
      </c>
      <c r="D480" t="s">
        <v>147</v>
      </c>
      <c r="E480" t="s">
        <v>1477</v>
      </c>
      <c r="F480">
        <v>8</v>
      </c>
      <c r="G480">
        <v>84</v>
      </c>
      <c r="H480" t="s">
        <v>1652</v>
      </c>
      <c r="I480" t="s">
        <v>150</v>
      </c>
      <c r="J480" t="s">
        <v>1656</v>
      </c>
      <c r="K480" t="s">
        <v>2513</v>
      </c>
      <c r="L480" t="s">
        <v>2514</v>
      </c>
      <c r="M480">
        <v>799795</v>
      </c>
      <c r="N480" s="25">
        <v>38400000</v>
      </c>
      <c r="O480" s="26">
        <v>107</v>
      </c>
      <c r="P480" t="s">
        <v>96</v>
      </c>
    </row>
    <row r="481" spans="1:16" ht="15" customHeight="1" x14ac:dyDescent="0.3">
      <c r="A481" t="s">
        <v>2515</v>
      </c>
      <c r="B481" t="s">
        <v>329</v>
      </c>
      <c r="C481" t="s">
        <v>78</v>
      </c>
      <c r="D481" t="s">
        <v>1655</v>
      </c>
      <c r="E481" t="s">
        <v>148</v>
      </c>
      <c r="F481">
        <v>8.3000000000000007</v>
      </c>
      <c r="G481">
        <v>84</v>
      </c>
      <c r="H481" t="s">
        <v>1652</v>
      </c>
      <c r="I481" t="s">
        <v>1273</v>
      </c>
      <c r="J481" t="s">
        <v>2513</v>
      </c>
      <c r="K481" t="s">
        <v>2516</v>
      </c>
      <c r="L481" t="s">
        <v>2517</v>
      </c>
      <c r="M481">
        <v>652719</v>
      </c>
      <c r="N481" s="25">
        <v>85160248</v>
      </c>
      <c r="O481" s="26">
        <v>137</v>
      </c>
      <c r="P481" t="s">
        <v>96</v>
      </c>
    </row>
    <row r="482" spans="1:16" ht="15" customHeight="1" x14ac:dyDescent="0.3">
      <c r="A482" t="s">
        <v>2518</v>
      </c>
      <c r="B482" t="s">
        <v>98</v>
      </c>
      <c r="C482" t="s">
        <v>99</v>
      </c>
      <c r="D482" t="s">
        <v>524</v>
      </c>
      <c r="E482" t="s">
        <v>301</v>
      </c>
      <c r="F482">
        <v>8</v>
      </c>
      <c r="G482">
        <v>84</v>
      </c>
      <c r="H482" t="s">
        <v>1509</v>
      </c>
      <c r="I482" t="s">
        <v>2519</v>
      </c>
      <c r="J482" t="s">
        <v>1102</v>
      </c>
      <c r="K482" t="s">
        <v>2520</v>
      </c>
      <c r="L482" t="s">
        <v>2521</v>
      </c>
      <c r="M482">
        <v>798882</v>
      </c>
      <c r="N482" s="25">
        <v>141319928</v>
      </c>
      <c r="O482" s="26">
        <v>120</v>
      </c>
      <c r="P482" t="s">
        <v>71</v>
      </c>
    </row>
    <row r="483" spans="1:16" ht="15" customHeight="1" x14ac:dyDescent="0.3">
      <c r="A483" t="s">
        <v>2522</v>
      </c>
      <c r="B483" t="s">
        <v>2523</v>
      </c>
      <c r="C483" t="s">
        <v>1542</v>
      </c>
      <c r="D483" t="s">
        <v>117</v>
      </c>
      <c r="E483" t="s">
        <v>1138</v>
      </c>
      <c r="F483">
        <v>7.6</v>
      </c>
      <c r="G483">
        <v>85</v>
      </c>
      <c r="H483" t="s">
        <v>1345</v>
      </c>
      <c r="I483" t="s">
        <v>2524</v>
      </c>
      <c r="J483" t="s">
        <v>2525</v>
      </c>
      <c r="K483" t="s">
        <v>2526</v>
      </c>
      <c r="L483" t="s">
        <v>2527</v>
      </c>
      <c r="M483">
        <v>43374</v>
      </c>
      <c r="N483" s="25">
        <v>30500000</v>
      </c>
      <c r="O483" s="26">
        <v>118</v>
      </c>
      <c r="P483" t="s">
        <v>71</v>
      </c>
    </row>
    <row r="484" spans="1:16" ht="15" customHeight="1" x14ac:dyDescent="0.3">
      <c r="A484" t="s">
        <v>2528</v>
      </c>
      <c r="B484" t="s">
        <v>87</v>
      </c>
      <c r="C484" t="s">
        <v>88</v>
      </c>
      <c r="D484" t="s">
        <v>100</v>
      </c>
      <c r="E484" t="s">
        <v>1843</v>
      </c>
      <c r="F484">
        <v>7.8</v>
      </c>
      <c r="G484">
        <v>85</v>
      </c>
      <c r="H484" t="s">
        <v>2273</v>
      </c>
      <c r="I484" t="s">
        <v>684</v>
      </c>
      <c r="J484" t="s">
        <v>790</v>
      </c>
      <c r="K484" t="s">
        <v>2275</v>
      </c>
      <c r="L484" t="s">
        <v>2529</v>
      </c>
      <c r="M484">
        <v>251370</v>
      </c>
      <c r="N484" s="25">
        <v>50927067</v>
      </c>
      <c r="O484" s="26">
        <v>123</v>
      </c>
      <c r="P484" t="s">
        <v>71</v>
      </c>
    </row>
    <row r="485" spans="1:16" ht="15" customHeight="1" x14ac:dyDescent="0.3">
      <c r="A485" t="s">
        <v>2530</v>
      </c>
      <c r="B485" t="s">
        <v>401</v>
      </c>
      <c r="C485" t="s">
        <v>99</v>
      </c>
      <c r="D485" t="s">
        <v>108</v>
      </c>
      <c r="E485" t="s">
        <v>427</v>
      </c>
      <c r="F485">
        <v>8.1</v>
      </c>
      <c r="G485">
        <v>85</v>
      </c>
      <c r="H485" t="s">
        <v>794</v>
      </c>
      <c r="I485" t="s">
        <v>740</v>
      </c>
      <c r="J485" t="s">
        <v>795</v>
      </c>
      <c r="K485" t="s">
        <v>741</v>
      </c>
      <c r="L485" t="s">
        <v>1985</v>
      </c>
      <c r="M485">
        <v>764493</v>
      </c>
      <c r="N485" s="25">
        <v>381011219</v>
      </c>
      <c r="O485" s="26">
        <v>130</v>
      </c>
      <c r="P485" t="s">
        <v>124</v>
      </c>
    </row>
    <row r="486" spans="1:16" ht="15" customHeight="1" x14ac:dyDescent="0.3">
      <c r="A486" t="s">
        <v>2531</v>
      </c>
      <c r="B486" t="s">
        <v>1066</v>
      </c>
      <c r="C486" t="s">
        <v>146</v>
      </c>
      <c r="D486" t="s">
        <v>89</v>
      </c>
      <c r="E486" t="s">
        <v>595</v>
      </c>
      <c r="F486">
        <v>8.4</v>
      </c>
      <c r="G486">
        <v>85</v>
      </c>
      <c r="H486" t="s">
        <v>607</v>
      </c>
      <c r="I486" t="s">
        <v>453</v>
      </c>
      <c r="J486" t="s">
        <v>2532</v>
      </c>
      <c r="K486" t="s">
        <v>2533</v>
      </c>
      <c r="L486" t="s">
        <v>2534</v>
      </c>
      <c r="M486">
        <v>884112</v>
      </c>
      <c r="N486" s="25">
        <v>248159971</v>
      </c>
      <c r="O486" s="26">
        <v>115</v>
      </c>
      <c r="P486" t="s">
        <v>96</v>
      </c>
    </row>
    <row r="487" spans="1:16" ht="15" customHeight="1" x14ac:dyDescent="0.3">
      <c r="A487" t="s">
        <v>2535</v>
      </c>
      <c r="B487" t="s">
        <v>574</v>
      </c>
      <c r="C487" t="s">
        <v>127</v>
      </c>
      <c r="D487" t="s">
        <v>1732</v>
      </c>
      <c r="E487" t="s">
        <v>1549</v>
      </c>
      <c r="F487">
        <v>8</v>
      </c>
      <c r="G487">
        <v>85</v>
      </c>
      <c r="H487" t="s">
        <v>2137</v>
      </c>
      <c r="I487" t="s">
        <v>2536</v>
      </c>
      <c r="J487" t="s">
        <v>2537</v>
      </c>
      <c r="K487" t="s">
        <v>1080</v>
      </c>
      <c r="L487" t="s">
        <v>965</v>
      </c>
      <c r="M487">
        <v>172083</v>
      </c>
      <c r="N487" s="25">
        <v>23159305</v>
      </c>
      <c r="O487" s="26">
        <v>86</v>
      </c>
      <c r="P487" t="s">
        <v>572</v>
      </c>
    </row>
    <row r="488" spans="1:16" ht="15" customHeight="1" x14ac:dyDescent="0.3">
      <c r="A488" t="s">
        <v>2538</v>
      </c>
      <c r="B488" t="s">
        <v>510</v>
      </c>
      <c r="C488" t="s">
        <v>88</v>
      </c>
      <c r="D488" t="s">
        <v>341</v>
      </c>
      <c r="E488" t="s">
        <v>156</v>
      </c>
      <c r="F488">
        <v>7.7</v>
      </c>
      <c r="G488">
        <v>85</v>
      </c>
      <c r="H488" t="s">
        <v>2539</v>
      </c>
      <c r="I488" t="s">
        <v>2540</v>
      </c>
      <c r="J488" t="s">
        <v>2541</v>
      </c>
      <c r="K488" t="s">
        <v>2542</v>
      </c>
      <c r="L488" t="s">
        <v>934</v>
      </c>
      <c r="M488">
        <v>492851</v>
      </c>
      <c r="N488" s="25">
        <v>176040665</v>
      </c>
      <c r="O488" s="26">
        <v>104</v>
      </c>
      <c r="P488" t="s">
        <v>162</v>
      </c>
    </row>
    <row r="489" spans="1:16" ht="15" customHeight="1" x14ac:dyDescent="0.3">
      <c r="A489" t="s">
        <v>2543</v>
      </c>
      <c r="B489" t="s">
        <v>107</v>
      </c>
      <c r="C489" t="s">
        <v>69</v>
      </c>
      <c r="D489" t="s">
        <v>108</v>
      </c>
      <c r="E489" t="s">
        <v>2544</v>
      </c>
      <c r="F489">
        <v>7.8</v>
      </c>
      <c r="G489">
        <v>85</v>
      </c>
      <c r="H489" t="s">
        <v>2545</v>
      </c>
      <c r="I489" t="s">
        <v>2546</v>
      </c>
      <c r="J489" t="s">
        <v>2547</v>
      </c>
      <c r="K489" t="s">
        <v>2548</v>
      </c>
      <c r="L489" t="s">
        <v>2549</v>
      </c>
      <c r="M489">
        <v>45002</v>
      </c>
      <c r="N489" s="25">
        <v>1330596</v>
      </c>
      <c r="O489" s="26">
        <v>130</v>
      </c>
      <c r="P489" t="s">
        <v>71</v>
      </c>
    </row>
    <row r="490" spans="1:16" ht="15" customHeight="1" x14ac:dyDescent="0.3">
      <c r="A490" t="s">
        <v>2550</v>
      </c>
      <c r="B490" t="s">
        <v>270</v>
      </c>
      <c r="C490" t="s">
        <v>146</v>
      </c>
      <c r="D490" t="s">
        <v>458</v>
      </c>
      <c r="E490" t="s">
        <v>223</v>
      </c>
      <c r="F490">
        <v>8.5</v>
      </c>
      <c r="G490">
        <v>85</v>
      </c>
      <c r="H490" t="s">
        <v>701</v>
      </c>
      <c r="I490" t="s">
        <v>702</v>
      </c>
      <c r="J490" t="s">
        <v>997</v>
      </c>
      <c r="K490" t="s">
        <v>613</v>
      </c>
      <c r="L490" t="s">
        <v>2043</v>
      </c>
      <c r="M490">
        <v>1189773</v>
      </c>
      <c r="N490" s="25">
        <v>132384315</v>
      </c>
      <c r="O490" s="26">
        <v>151</v>
      </c>
      <c r="P490" t="s">
        <v>172</v>
      </c>
    </row>
    <row r="491" spans="1:16" ht="15" customHeight="1" x14ac:dyDescent="0.3">
      <c r="A491" t="s">
        <v>2551</v>
      </c>
      <c r="B491" t="s">
        <v>547</v>
      </c>
      <c r="C491" t="s">
        <v>127</v>
      </c>
      <c r="D491" t="s">
        <v>138</v>
      </c>
      <c r="E491" t="s">
        <v>1191</v>
      </c>
      <c r="F491">
        <v>8.1</v>
      </c>
      <c r="G491">
        <v>85</v>
      </c>
      <c r="H491" t="s">
        <v>2552</v>
      </c>
      <c r="I491" t="s">
        <v>2553</v>
      </c>
      <c r="J491" t="s">
        <v>947</v>
      </c>
      <c r="K491" t="s">
        <v>2554</v>
      </c>
      <c r="L491" t="s">
        <v>1589</v>
      </c>
      <c r="M491">
        <v>51679</v>
      </c>
      <c r="N491" s="25">
        <v>857524</v>
      </c>
      <c r="O491" s="26">
        <v>93</v>
      </c>
      <c r="P491" t="s">
        <v>572</v>
      </c>
    </row>
    <row r="492" spans="1:16" ht="15" customHeight="1" x14ac:dyDescent="0.3">
      <c r="A492" t="s">
        <v>2555</v>
      </c>
      <c r="B492" t="s">
        <v>389</v>
      </c>
      <c r="C492" t="s">
        <v>69</v>
      </c>
      <c r="D492" t="s">
        <v>524</v>
      </c>
      <c r="E492" t="s">
        <v>2556</v>
      </c>
      <c r="F492">
        <v>7.9</v>
      </c>
      <c r="G492">
        <v>85</v>
      </c>
      <c r="H492" t="s">
        <v>2557</v>
      </c>
      <c r="I492" t="s">
        <v>1177</v>
      </c>
      <c r="J492" t="s">
        <v>1645</v>
      </c>
      <c r="K492" t="s">
        <v>2558</v>
      </c>
      <c r="L492" t="s">
        <v>2559</v>
      </c>
      <c r="M492">
        <v>173999</v>
      </c>
      <c r="N492" s="25">
        <v>53710019</v>
      </c>
      <c r="O492" s="26">
        <v>120</v>
      </c>
      <c r="P492" t="s">
        <v>96</v>
      </c>
    </row>
    <row r="493" spans="1:16" ht="15" customHeight="1" x14ac:dyDescent="0.3">
      <c r="A493" t="s">
        <v>2560</v>
      </c>
      <c r="B493" t="s">
        <v>189</v>
      </c>
      <c r="C493" t="s">
        <v>146</v>
      </c>
      <c r="D493" t="s">
        <v>1664</v>
      </c>
      <c r="E493" t="s">
        <v>223</v>
      </c>
      <c r="F493">
        <v>8.1</v>
      </c>
      <c r="G493">
        <v>85</v>
      </c>
      <c r="H493" t="s">
        <v>874</v>
      </c>
      <c r="I493" t="s">
        <v>875</v>
      </c>
      <c r="J493" t="s">
        <v>2561</v>
      </c>
      <c r="K493" t="s">
        <v>2339</v>
      </c>
      <c r="L493" t="s">
        <v>2562</v>
      </c>
      <c r="M493">
        <v>617444</v>
      </c>
      <c r="N493" s="25">
        <v>24611975</v>
      </c>
      <c r="O493" s="26">
        <v>98</v>
      </c>
      <c r="P493" t="s">
        <v>172</v>
      </c>
    </row>
    <row r="494" spans="1:16" ht="15" customHeight="1" x14ac:dyDescent="0.3">
      <c r="A494" t="s">
        <v>2563</v>
      </c>
      <c r="B494" t="s">
        <v>87</v>
      </c>
      <c r="C494" t="s">
        <v>99</v>
      </c>
      <c r="D494" t="s">
        <v>89</v>
      </c>
      <c r="E494" t="s">
        <v>995</v>
      </c>
      <c r="F494">
        <v>8</v>
      </c>
      <c r="G494">
        <v>85</v>
      </c>
      <c r="H494" t="s">
        <v>1515</v>
      </c>
      <c r="I494" t="s">
        <v>997</v>
      </c>
      <c r="J494" t="s">
        <v>2564</v>
      </c>
      <c r="K494" t="s">
        <v>1516</v>
      </c>
      <c r="L494" t="s">
        <v>2565</v>
      </c>
      <c r="M494">
        <v>604694</v>
      </c>
      <c r="N494" s="25">
        <v>227471070</v>
      </c>
      <c r="O494" s="26">
        <v>115</v>
      </c>
      <c r="P494" t="s">
        <v>96</v>
      </c>
    </row>
    <row r="495" spans="1:16" ht="15" customHeight="1" x14ac:dyDescent="0.3">
      <c r="A495" t="s">
        <v>2566</v>
      </c>
      <c r="B495" t="s">
        <v>753</v>
      </c>
      <c r="C495" t="s">
        <v>146</v>
      </c>
      <c r="D495" t="s">
        <v>117</v>
      </c>
      <c r="E495" t="s">
        <v>223</v>
      </c>
      <c r="F495">
        <v>8.6</v>
      </c>
      <c r="G495">
        <v>85</v>
      </c>
      <c r="H495" t="s">
        <v>882</v>
      </c>
      <c r="I495" t="s">
        <v>1811</v>
      </c>
      <c r="J495" t="s">
        <v>1007</v>
      </c>
      <c r="K495" t="s">
        <v>2567</v>
      </c>
      <c r="L495" t="s">
        <v>2568</v>
      </c>
      <c r="M495">
        <v>1270197</v>
      </c>
      <c r="N495" s="25">
        <v>130742922</v>
      </c>
      <c r="O495" s="26">
        <v>118</v>
      </c>
      <c r="P495" t="s">
        <v>172</v>
      </c>
    </row>
    <row r="496" spans="1:16" ht="15" customHeight="1" x14ac:dyDescent="0.3">
      <c r="A496" t="s">
        <v>2569</v>
      </c>
      <c r="B496" t="s">
        <v>1527</v>
      </c>
      <c r="C496" t="s">
        <v>78</v>
      </c>
      <c r="D496" t="s">
        <v>79</v>
      </c>
      <c r="E496" t="s">
        <v>718</v>
      </c>
      <c r="F496">
        <v>7.8</v>
      </c>
      <c r="G496">
        <v>85</v>
      </c>
      <c r="H496" t="s">
        <v>533</v>
      </c>
      <c r="I496" t="s">
        <v>1814</v>
      </c>
      <c r="J496" t="s">
        <v>2570</v>
      </c>
      <c r="K496" t="s">
        <v>2571</v>
      </c>
      <c r="L496" t="s">
        <v>2572</v>
      </c>
      <c r="M496">
        <v>98611</v>
      </c>
      <c r="N496" s="25">
        <v>4420000</v>
      </c>
      <c r="O496" s="26">
        <v>113</v>
      </c>
      <c r="P496" t="s">
        <v>71</v>
      </c>
    </row>
    <row r="497" spans="1:16" ht="15" customHeight="1" x14ac:dyDescent="0.3">
      <c r="A497" t="s">
        <v>2573</v>
      </c>
      <c r="B497" t="s">
        <v>502</v>
      </c>
      <c r="C497" t="s">
        <v>146</v>
      </c>
      <c r="D497" t="s">
        <v>108</v>
      </c>
      <c r="E497" t="s">
        <v>2177</v>
      </c>
      <c r="F497">
        <v>8.1999999999999993</v>
      </c>
      <c r="G497">
        <v>85</v>
      </c>
      <c r="H497" t="s">
        <v>242</v>
      </c>
      <c r="I497" t="s">
        <v>242</v>
      </c>
      <c r="J497" t="s">
        <v>1814</v>
      </c>
      <c r="K497" t="s">
        <v>319</v>
      </c>
      <c r="L497" t="s">
        <v>742</v>
      </c>
      <c r="M497">
        <v>375935</v>
      </c>
      <c r="N497" s="25">
        <v>101157447</v>
      </c>
      <c r="O497" s="26">
        <v>130</v>
      </c>
      <c r="P497" t="s">
        <v>71</v>
      </c>
    </row>
    <row r="498" spans="1:16" ht="15" customHeight="1" x14ac:dyDescent="0.3">
      <c r="A498" t="s">
        <v>2574</v>
      </c>
      <c r="B498" t="s">
        <v>389</v>
      </c>
      <c r="C498" t="s">
        <v>88</v>
      </c>
      <c r="D498" t="s">
        <v>1254</v>
      </c>
      <c r="E498" t="s">
        <v>208</v>
      </c>
      <c r="F498">
        <v>8.5</v>
      </c>
      <c r="G498">
        <v>85</v>
      </c>
      <c r="H498" t="s">
        <v>1298</v>
      </c>
      <c r="I498" t="s">
        <v>2575</v>
      </c>
      <c r="J498" t="s">
        <v>2576</v>
      </c>
      <c r="K498" t="s">
        <v>2577</v>
      </c>
      <c r="L498" t="s">
        <v>2578</v>
      </c>
      <c r="M498">
        <v>729603</v>
      </c>
      <c r="N498" s="25">
        <v>32572577</v>
      </c>
      <c r="O498" s="26">
        <v>150</v>
      </c>
      <c r="P498" t="s">
        <v>204</v>
      </c>
    </row>
    <row r="499" spans="1:16" ht="15" customHeight="1" x14ac:dyDescent="0.3">
      <c r="A499" t="s">
        <v>2579</v>
      </c>
      <c r="B499" t="s">
        <v>286</v>
      </c>
      <c r="C499" t="s">
        <v>88</v>
      </c>
      <c r="D499" t="s">
        <v>924</v>
      </c>
      <c r="E499" t="s">
        <v>71</v>
      </c>
      <c r="F499">
        <v>7.9</v>
      </c>
      <c r="G499">
        <v>85</v>
      </c>
      <c r="H499" t="s">
        <v>1937</v>
      </c>
      <c r="I499" t="s">
        <v>2043</v>
      </c>
      <c r="J499" t="s">
        <v>1939</v>
      </c>
      <c r="K499" t="s">
        <v>2197</v>
      </c>
      <c r="L499" t="s">
        <v>2580</v>
      </c>
      <c r="M499">
        <v>239473</v>
      </c>
      <c r="N499" s="25">
        <v>26400640</v>
      </c>
      <c r="O499" s="26">
        <v>155</v>
      </c>
      <c r="P499" t="s">
        <v>71</v>
      </c>
    </row>
    <row r="500" spans="1:16" ht="15" customHeight="1" x14ac:dyDescent="0.3">
      <c r="A500" t="s">
        <v>2581</v>
      </c>
      <c r="B500" t="s">
        <v>68</v>
      </c>
      <c r="C500" t="s">
        <v>88</v>
      </c>
      <c r="D500" t="s">
        <v>222</v>
      </c>
      <c r="E500" t="s">
        <v>718</v>
      </c>
      <c r="F500">
        <v>7.9</v>
      </c>
      <c r="G500">
        <v>85</v>
      </c>
      <c r="H500" t="s">
        <v>1765</v>
      </c>
      <c r="I500" t="s">
        <v>1164</v>
      </c>
      <c r="J500" t="s">
        <v>2582</v>
      </c>
      <c r="K500" t="s">
        <v>766</v>
      </c>
      <c r="L500" t="s">
        <v>2583</v>
      </c>
      <c r="M500">
        <v>322031</v>
      </c>
      <c r="N500" s="25">
        <v>7220243</v>
      </c>
      <c r="O500" s="26">
        <v>147</v>
      </c>
      <c r="P500" t="s">
        <v>71</v>
      </c>
    </row>
    <row r="501" spans="1:16" ht="15" customHeight="1" x14ac:dyDescent="0.3">
      <c r="A501" t="s">
        <v>2584</v>
      </c>
      <c r="B501" t="s">
        <v>198</v>
      </c>
      <c r="C501" t="s">
        <v>78</v>
      </c>
      <c r="D501" t="s">
        <v>1664</v>
      </c>
      <c r="E501" t="s">
        <v>301</v>
      </c>
      <c r="F501">
        <v>8.1</v>
      </c>
      <c r="G501">
        <v>85</v>
      </c>
      <c r="H501" t="s">
        <v>1850</v>
      </c>
      <c r="I501" t="s">
        <v>1645</v>
      </c>
      <c r="J501" t="s">
        <v>2558</v>
      </c>
      <c r="K501" t="s">
        <v>2585</v>
      </c>
      <c r="L501" t="s">
        <v>2586</v>
      </c>
      <c r="M501">
        <v>124383</v>
      </c>
      <c r="N501" s="25">
        <v>2734044</v>
      </c>
      <c r="O501" s="26">
        <v>98</v>
      </c>
      <c r="P501" t="s">
        <v>71</v>
      </c>
    </row>
    <row r="502" spans="1:16" ht="15" customHeight="1" x14ac:dyDescent="0.3">
      <c r="A502" t="s">
        <v>2587</v>
      </c>
      <c r="B502" t="s">
        <v>68</v>
      </c>
      <c r="C502" t="s">
        <v>88</v>
      </c>
      <c r="D502" t="s">
        <v>181</v>
      </c>
      <c r="E502" t="s">
        <v>2011</v>
      </c>
      <c r="F502">
        <v>7.7</v>
      </c>
      <c r="G502">
        <v>85</v>
      </c>
      <c r="H502" t="s">
        <v>2588</v>
      </c>
      <c r="I502" t="s">
        <v>2588</v>
      </c>
      <c r="J502" t="s">
        <v>2589</v>
      </c>
      <c r="K502" t="s">
        <v>2590</v>
      </c>
      <c r="L502" t="s">
        <v>2591</v>
      </c>
      <c r="M502">
        <v>31957</v>
      </c>
      <c r="N502" s="25">
        <v>3029081</v>
      </c>
      <c r="O502" s="26">
        <v>95</v>
      </c>
      <c r="P502" t="s">
        <v>135</v>
      </c>
    </row>
    <row r="503" spans="1:16" ht="15" customHeight="1" x14ac:dyDescent="0.3">
      <c r="A503" t="s">
        <v>2592</v>
      </c>
      <c r="B503" t="s">
        <v>137</v>
      </c>
      <c r="C503" t="s">
        <v>88</v>
      </c>
      <c r="D503" t="s">
        <v>155</v>
      </c>
      <c r="E503" t="s">
        <v>301</v>
      </c>
      <c r="F503">
        <v>8</v>
      </c>
      <c r="G503">
        <v>85</v>
      </c>
      <c r="H503" t="s">
        <v>1338</v>
      </c>
      <c r="I503" t="s">
        <v>1338</v>
      </c>
      <c r="J503" t="s">
        <v>2593</v>
      </c>
      <c r="K503" t="s">
        <v>2594</v>
      </c>
      <c r="L503" t="s">
        <v>2595</v>
      </c>
      <c r="M503">
        <v>77520</v>
      </c>
      <c r="N503" s="25">
        <v>2380788</v>
      </c>
      <c r="O503" s="26">
        <v>103</v>
      </c>
      <c r="P503" t="s">
        <v>71</v>
      </c>
    </row>
    <row r="504" spans="1:16" ht="15" customHeight="1" x14ac:dyDescent="0.3">
      <c r="A504" t="s">
        <v>2596</v>
      </c>
      <c r="B504" t="s">
        <v>116</v>
      </c>
      <c r="C504" t="s">
        <v>99</v>
      </c>
      <c r="D504" t="s">
        <v>138</v>
      </c>
      <c r="E504" t="s">
        <v>129</v>
      </c>
      <c r="F504">
        <v>7.7</v>
      </c>
      <c r="G504">
        <v>86</v>
      </c>
      <c r="H504" t="s">
        <v>1813</v>
      </c>
      <c r="I504" t="s">
        <v>2410</v>
      </c>
      <c r="J504" t="s">
        <v>1272</v>
      </c>
      <c r="K504" t="s">
        <v>722</v>
      </c>
      <c r="L504" t="s">
        <v>2597</v>
      </c>
      <c r="M504">
        <v>169229</v>
      </c>
      <c r="N504" s="25">
        <v>17105219</v>
      </c>
      <c r="O504" s="26">
        <v>93</v>
      </c>
      <c r="P504" t="s">
        <v>135</v>
      </c>
    </row>
    <row r="505" spans="1:16" ht="15" customHeight="1" x14ac:dyDescent="0.3">
      <c r="A505" t="s">
        <v>2598</v>
      </c>
      <c r="B505" t="s">
        <v>1001</v>
      </c>
      <c r="C505" t="s">
        <v>88</v>
      </c>
      <c r="D505" t="s">
        <v>117</v>
      </c>
      <c r="E505" t="s">
        <v>525</v>
      </c>
      <c r="F505">
        <v>8.1</v>
      </c>
      <c r="G505">
        <v>86</v>
      </c>
      <c r="H505" t="s">
        <v>2599</v>
      </c>
      <c r="I505" t="s">
        <v>2282</v>
      </c>
      <c r="J505" t="s">
        <v>913</v>
      </c>
      <c r="K505" t="s">
        <v>2600</v>
      </c>
      <c r="L505" t="s">
        <v>2601</v>
      </c>
      <c r="M505">
        <v>371538</v>
      </c>
      <c r="N505" s="25">
        <v>14677674</v>
      </c>
      <c r="O505" s="26">
        <v>118</v>
      </c>
      <c r="P505" t="s">
        <v>71</v>
      </c>
    </row>
    <row r="506" spans="1:16" ht="15" customHeight="1" x14ac:dyDescent="0.3">
      <c r="A506" t="s">
        <v>2602</v>
      </c>
      <c r="B506" t="s">
        <v>510</v>
      </c>
      <c r="C506" t="s">
        <v>99</v>
      </c>
      <c r="D506" t="s">
        <v>79</v>
      </c>
      <c r="E506" t="s">
        <v>90</v>
      </c>
      <c r="F506">
        <v>7.6</v>
      </c>
      <c r="G506">
        <v>86</v>
      </c>
      <c r="H506" t="s">
        <v>1750</v>
      </c>
      <c r="I506" t="s">
        <v>1134</v>
      </c>
      <c r="J506" t="s">
        <v>2207</v>
      </c>
      <c r="K506" t="s">
        <v>2603</v>
      </c>
      <c r="L506" t="s">
        <v>2604</v>
      </c>
      <c r="M506">
        <v>439406</v>
      </c>
      <c r="N506" s="25">
        <v>107825862</v>
      </c>
      <c r="O506" s="26">
        <v>113</v>
      </c>
      <c r="P506" t="s">
        <v>96</v>
      </c>
    </row>
    <row r="507" spans="1:16" ht="15" customHeight="1" x14ac:dyDescent="0.3">
      <c r="A507" t="s">
        <v>2605</v>
      </c>
      <c r="B507" t="s">
        <v>77</v>
      </c>
      <c r="C507" t="s">
        <v>99</v>
      </c>
      <c r="D507" t="s">
        <v>70</v>
      </c>
      <c r="E507" t="s">
        <v>109</v>
      </c>
      <c r="F507">
        <v>8.1</v>
      </c>
      <c r="G507">
        <v>86</v>
      </c>
      <c r="H507" t="s">
        <v>242</v>
      </c>
      <c r="I507" t="s">
        <v>2606</v>
      </c>
      <c r="J507" t="s">
        <v>242</v>
      </c>
      <c r="K507" t="s">
        <v>319</v>
      </c>
      <c r="L507" t="s">
        <v>1667</v>
      </c>
      <c r="M507">
        <v>635975</v>
      </c>
      <c r="N507" s="25">
        <v>100492203</v>
      </c>
      <c r="O507" s="26">
        <v>132</v>
      </c>
      <c r="P507" t="s">
        <v>71</v>
      </c>
    </row>
    <row r="508" spans="1:16" ht="15" customHeight="1" x14ac:dyDescent="0.3">
      <c r="A508" t="s">
        <v>2607</v>
      </c>
      <c r="B508" t="s">
        <v>483</v>
      </c>
      <c r="C508" t="s">
        <v>146</v>
      </c>
      <c r="D508" t="s">
        <v>2608</v>
      </c>
      <c r="E508" t="s">
        <v>1793</v>
      </c>
      <c r="F508">
        <v>8.1</v>
      </c>
      <c r="G508">
        <v>86</v>
      </c>
      <c r="H508" t="s">
        <v>2609</v>
      </c>
      <c r="I508" t="s">
        <v>225</v>
      </c>
      <c r="J508" t="s">
        <v>177</v>
      </c>
      <c r="K508" t="s">
        <v>2570</v>
      </c>
      <c r="L508" t="s">
        <v>2610</v>
      </c>
      <c r="M508">
        <v>311361</v>
      </c>
      <c r="N508" s="25">
        <v>48979328</v>
      </c>
      <c r="O508" s="26">
        <v>183</v>
      </c>
      <c r="P508" t="s">
        <v>71</v>
      </c>
    </row>
    <row r="509" spans="1:16" ht="15" customHeight="1" x14ac:dyDescent="0.3">
      <c r="A509" t="s">
        <v>2611</v>
      </c>
      <c r="B509" t="s">
        <v>206</v>
      </c>
      <c r="C509" t="s">
        <v>99</v>
      </c>
      <c r="D509" t="s">
        <v>222</v>
      </c>
      <c r="E509" t="s">
        <v>466</v>
      </c>
      <c r="F509">
        <v>7.7</v>
      </c>
      <c r="G509">
        <v>86</v>
      </c>
      <c r="H509" t="s">
        <v>2612</v>
      </c>
      <c r="I509" t="s">
        <v>355</v>
      </c>
      <c r="J509" t="s">
        <v>2613</v>
      </c>
      <c r="K509" t="s">
        <v>2614</v>
      </c>
      <c r="L509" t="s">
        <v>1751</v>
      </c>
      <c r="M509">
        <v>291257</v>
      </c>
      <c r="N509" s="25">
        <v>220159104</v>
      </c>
      <c r="O509" s="26">
        <v>147</v>
      </c>
      <c r="P509" t="s">
        <v>96</v>
      </c>
    </row>
    <row r="510" spans="1:16" ht="15" customHeight="1" x14ac:dyDescent="0.3">
      <c r="A510" t="s">
        <v>2615</v>
      </c>
      <c r="B510" t="s">
        <v>574</v>
      </c>
      <c r="C510" t="s">
        <v>78</v>
      </c>
      <c r="D510" t="s">
        <v>402</v>
      </c>
      <c r="E510" t="s">
        <v>713</v>
      </c>
      <c r="F510">
        <v>8</v>
      </c>
      <c r="G510">
        <v>86</v>
      </c>
      <c r="H510" t="s">
        <v>1765</v>
      </c>
      <c r="I510" t="s">
        <v>1683</v>
      </c>
      <c r="J510" t="s">
        <v>2616</v>
      </c>
      <c r="K510" t="s">
        <v>2617</v>
      </c>
      <c r="L510" t="s">
        <v>2618</v>
      </c>
      <c r="M510">
        <v>82002</v>
      </c>
      <c r="N510" s="25">
        <v>6203044</v>
      </c>
      <c r="O510" s="26">
        <v>112</v>
      </c>
      <c r="P510" t="s">
        <v>204</v>
      </c>
    </row>
    <row r="511" spans="1:16" ht="15" customHeight="1" x14ac:dyDescent="0.3">
      <c r="A511" t="s">
        <v>2619</v>
      </c>
      <c r="B511" t="s">
        <v>538</v>
      </c>
      <c r="C511" t="s">
        <v>78</v>
      </c>
      <c r="D511" t="s">
        <v>279</v>
      </c>
      <c r="E511" t="s">
        <v>71</v>
      </c>
      <c r="F511">
        <v>7.7</v>
      </c>
      <c r="G511">
        <v>86</v>
      </c>
      <c r="H511" t="s">
        <v>866</v>
      </c>
      <c r="I511" t="s">
        <v>220</v>
      </c>
      <c r="J511" t="s">
        <v>2620</v>
      </c>
      <c r="K511" t="s">
        <v>2621</v>
      </c>
      <c r="L511" t="s">
        <v>2622</v>
      </c>
      <c r="M511">
        <v>47099</v>
      </c>
      <c r="N511" s="25">
        <v>54800000</v>
      </c>
      <c r="O511" s="26">
        <v>124</v>
      </c>
      <c r="P511" t="s">
        <v>71</v>
      </c>
    </row>
    <row r="512" spans="1:16" ht="15" customHeight="1" x14ac:dyDescent="0.3">
      <c r="A512" t="s">
        <v>2623</v>
      </c>
      <c r="B512" t="s">
        <v>2350</v>
      </c>
      <c r="C512" t="s">
        <v>78</v>
      </c>
      <c r="D512" t="s">
        <v>687</v>
      </c>
      <c r="E512" t="s">
        <v>1894</v>
      </c>
      <c r="F512">
        <v>8.1999999999999993</v>
      </c>
      <c r="G512">
        <v>86</v>
      </c>
      <c r="H512" t="s">
        <v>1598</v>
      </c>
      <c r="I512" t="s">
        <v>460</v>
      </c>
      <c r="J512" t="s">
        <v>304</v>
      </c>
      <c r="K512" t="s">
        <v>1015</v>
      </c>
      <c r="L512" t="s">
        <v>1600</v>
      </c>
      <c r="M512">
        <v>224730</v>
      </c>
      <c r="N512" s="25">
        <v>12100000</v>
      </c>
      <c r="O512" s="26">
        <v>172</v>
      </c>
      <c r="P512" t="s">
        <v>124</v>
      </c>
    </row>
    <row r="513" spans="1:16" ht="15" customHeight="1" x14ac:dyDescent="0.3">
      <c r="A513" t="s">
        <v>2624</v>
      </c>
      <c r="B513" t="s">
        <v>434</v>
      </c>
      <c r="C513" t="s">
        <v>146</v>
      </c>
      <c r="D513" t="s">
        <v>524</v>
      </c>
      <c r="E513" t="s">
        <v>1491</v>
      </c>
      <c r="F513">
        <v>7.7</v>
      </c>
      <c r="G513">
        <v>86</v>
      </c>
      <c r="H513" t="s">
        <v>1212</v>
      </c>
      <c r="I513" t="s">
        <v>1212</v>
      </c>
      <c r="J513" t="s">
        <v>2008</v>
      </c>
      <c r="K513" t="s">
        <v>1116</v>
      </c>
      <c r="L513" t="s">
        <v>2307</v>
      </c>
      <c r="M513">
        <v>572581</v>
      </c>
      <c r="N513" s="25">
        <v>136025503</v>
      </c>
      <c r="O513" s="26">
        <v>120</v>
      </c>
      <c r="P513" t="s">
        <v>204</v>
      </c>
    </row>
    <row r="514" spans="1:16" ht="15" customHeight="1" x14ac:dyDescent="0.3">
      <c r="A514" t="s">
        <v>2625</v>
      </c>
      <c r="B514" t="s">
        <v>2419</v>
      </c>
      <c r="C514" t="s">
        <v>78</v>
      </c>
      <c r="D514" t="s">
        <v>426</v>
      </c>
      <c r="E514" t="s">
        <v>280</v>
      </c>
      <c r="F514">
        <v>8</v>
      </c>
      <c r="G514">
        <v>86</v>
      </c>
      <c r="H514" t="s">
        <v>2626</v>
      </c>
      <c r="I514" t="s">
        <v>505</v>
      </c>
      <c r="J514" t="s">
        <v>2570</v>
      </c>
      <c r="K514" t="s">
        <v>2627</v>
      </c>
      <c r="L514" t="s">
        <v>2628</v>
      </c>
      <c r="M514">
        <v>235652</v>
      </c>
      <c r="N514" s="25">
        <v>50000000</v>
      </c>
      <c r="O514" s="26">
        <v>125</v>
      </c>
      <c r="P514" t="s">
        <v>204</v>
      </c>
    </row>
    <row r="515" spans="1:16" ht="15" customHeight="1" x14ac:dyDescent="0.3">
      <c r="A515" t="s">
        <v>2629</v>
      </c>
      <c r="B515" t="s">
        <v>1066</v>
      </c>
      <c r="C515" t="s">
        <v>88</v>
      </c>
      <c r="D515" t="s">
        <v>1023</v>
      </c>
      <c r="E515" t="s">
        <v>760</v>
      </c>
      <c r="F515">
        <v>8.3000000000000007</v>
      </c>
      <c r="G515">
        <v>86</v>
      </c>
      <c r="H515" t="s">
        <v>2630</v>
      </c>
      <c r="I515" t="s">
        <v>2631</v>
      </c>
      <c r="J515" t="s">
        <v>2632</v>
      </c>
      <c r="K515" t="s">
        <v>2633</v>
      </c>
      <c r="L515" t="s">
        <v>2634</v>
      </c>
      <c r="M515">
        <v>231855</v>
      </c>
      <c r="N515" s="25">
        <v>11487676</v>
      </c>
      <c r="O515" s="26">
        <v>149</v>
      </c>
      <c r="P515" t="s">
        <v>124</v>
      </c>
    </row>
    <row r="516" spans="1:16" ht="15" customHeight="1" x14ac:dyDescent="0.3">
      <c r="A516" t="s">
        <v>2635</v>
      </c>
      <c r="B516" t="s">
        <v>98</v>
      </c>
      <c r="C516" t="s">
        <v>78</v>
      </c>
      <c r="D516" t="s">
        <v>360</v>
      </c>
      <c r="E516" t="s">
        <v>1241</v>
      </c>
      <c r="F516">
        <v>7.7</v>
      </c>
      <c r="G516">
        <v>86</v>
      </c>
      <c r="H516" t="s">
        <v>1785</v>
      </c>
      <c r="I516" t="s">
        <v>1197</v>
      </c>
      <c r="J516" t="s">
        <v>997</v>
      </c>
      <c r="K516" t="s">
        <v>256</v>
      </c>
      <c r="L516" t="s">
        <v>2636</v>
      </c>
      <c r="M516">
        <v>125317</v>
      </c>
      <c r="N516" s="25">
        <v>15090400</v>
      </c>
      <c r="O516" s="26">
        <v>101</v>
      </c>
      <c r="P516" t="s">
        <v>572</v>
      </c>
    </row>
    <row r="517" spans="1:16" ht="15" customHeight="1" x14ac:dyDescent="0.3">
      <c r="A517" t="s">
        <v>2637</v>
      </c>
      <c r="B517" t="s">
        <v>753</v>
      </c>
      <c r="C517" t="s">
        <v>88</v>
      </c>
      <c r="D517" t="s">
        <v>1664</v>
      </c>
      <c r="E517" t="s">
        <v>182</v>
      </c>
      <c r="F517">
        <v>7.8</v>
      </c>
      <c r="G517">
        <v>86</v>
      </c>
      <c r="H517" t="s">
        <v>2638</v>
      </c>
      <c r="I517" t="s">
        <v>2639</v>
      </c>
      <c r="J517" t="s">
        <v>2640</v>
      </c>
      <c r="K517" t="s">
        <v>2641</v>
      </c>
      <c r="L517" t="s">
        <v>2642</v>
      </c>
      <c r="M517">
        <v>42376</v>
      </c>
      <c r="N517" s="25">
        <v>1999955</v>
      </c>
      <c r="O517" s="26">
        <v>98</v>
      </c>
      <c r="P517" t="s">
        <v>71</v>
      </c>
    </row>
    <row r="518" spans="1:16" ht="15" customHeight="1" x14ac:dyDescent="0.3">
      <c r="A518" t="s">
        <v>2643</v>
      </c>
      <c r="B518" t="s">
        <v>797</v>
      </c>
      <c r="C518" t="s">
        <v>78</v>
      </c>
      <c r="D518" t="s">
        <v>1732</v>
      </c>
      <c r="E518" t="s">
        <v>2310</v>
      </c>
      <c r="F518">
        <v>8.1999999999999993</v>
      </c>
      <c r="G518">
        <v>86</v>
      </c>
      <c r="H518" t="s">
        <v>1785</v>
      </c>
      <c r="I518" t="s">
        <v>2644</v>
      </c>
      <c r="J518" t="s">
        <v>2645</v>
      </c>
      <c r="K518" t="s">
        <v>2646</v>
      </c>
      <c r="L518" t="s">
        <v>2647</v>
      </c>
      <c r="M518">
        <v>291180</v>
      </c>
      <c r="N518" s="25">
        <v>1105564</v>
      </c>
      <c r="O518" s="26">
        <v>86</v>
      </c>
      <c r="P518" t="s">
        <v>572</v>
      </c>
    </row>
    <row r="519" spans="1:16" ht="15" customHeight="1" x14ac:dyDescent="0.3">
      <c r="A519" t="s">
        <v>2648</v>
      </c>
      <c r="B519" t="s">
        <v>2021</v>
      </c>
      <c r="C519" t="s">
        <v>724</v>
      </c>
      <c r="D519" t="s">
        <v>1269</v>
      </c>
      <c r="E519" t="s">
        <v>135</v>
      </c>
      <c r="F519">
        <v>7.7</v>
      </c>
      <c r="G519">
        <v>86</v>
      </c>
      <c r="H519" t="s">
        <v>2649</v>
      </c>
      <c r="I519" t="s">
        <v>1397</v>
      </c>
      <c r="J519" t="s">
        <v>1398</v>
      </c>
      <c r="K519" t="s">
        <v>2650</v>
      </c>
      <c r="L519" t="s">
        <v>2651</v>
      </c>
      <c r="M519">
        <v>31572</v>
      </c>
      <c r="N519" s="25">
        <v>44527234</v>
      </c>
      <c r="O519" s="26">
        <v>105</v>
      </c>
      <c r="P519" t="s">
        <v>135</v>
      </c>
    </row>
    <row r="520" spans="1:16" ht="15" customHeight="1" x14ac:dyDescent="0.3">
      <c r="A520" t="s">
        <v>2652</v>
      </c>
      <c r="B520" t="s">
        <v>1268</v>
      </c>
      <c r="C520" t="s">
        <v>78</v>
      </c>
      <c r="D520" t="s">
        <v>271</v>
      </c>
      <c r="E520" t="s">
        <v>2653</v>
      </c>
      <c r="F520">
        <v>8.1</v>
      </c>
      <c r="G520">
        <v>86</v>
      </c>
      <c r="H520" t="s">
        <v>1785</v>
      </c>
      <c r="I520" t="s">
        <v>2654</v>
      </c>
      <c r="J520" t="s">
        <v>2655</v>
      </c>
      <c r="K520" t="s">
        <v>2656</v>
      </c>
      <c r="L520" t="s">
        <v>2657</v>
      </c>
      <c r="M520">
        <v>150924</v>
      </c>
      <c r="N520" s="25">
        <v>495770</v>
      </c>
      <c r="O520" s="26">
        <v>117</v>
      </c>
      <c r="P520" t="s">
        <v>572</v>
      </c>
    </row>
    <row r="521" spans="1:16" ht="15" customHeight="1" x14ac:dyDescent="0.3">
      <c r="A521" t="s">
        <v>2658</v>
      </c>
      <c r="B521" t="s">
        <v>2659</v>
      </c>
      <c r="C521" t="s">
        <v>127</v>
      </c>
      <c r="D521" t="s">
        <v>879</v>
      </c>
      <c r="E521" t="s">
        <v>1153</v>
      </c>
      <c r="F521">
        <v>8.1</v>
      </c>
      <c r="G521">
        <v>87</v>
      </c>
      <c r="H521" t="s">
        <v>1139</v>
      </c>
      <c r="I521" t="s">
        <v>2660</v>
      </c>
      <c r="J521" t="s">
        <v>2661</v>
      </c>
      <c r="K521" t="s">
        <v>2662</v>
      </c>
      <c r="L521" t="s">
        <v>2663</v>
      </c>
      <c r="M521">
        <v>203463</v>
      </c>
      <c r="N521" s="25">
        <v>44908000</v>
      </c>
      <c r="O521" s="26">
        <v>161</v>
      </c>
      <c r="P521" t="s">
        <v>124</v>
      </c>
    </row>
    <row r="522" spans="1:16" ht="15" customHeight="1" x14ac:dyDescent="0.3">
      <c r="A522" t="s">
        <v>2664</v>
      </c>
      <c r="B522" t="s">
        <v>401</v>
      </c>
      <c r="C522" t="s">
        <v>69</v>
      </c>
      <c r="D522" t="s">
        <v>539</v>
      </c>
      <c r="E522" t="s">
        <v>199</v>
      </c>
      <c r="F522">
        <v>7.6</v>
      </c>
      <c r="G522">
        <v>87</v>
      </c>
      <c r="H522" t="s">
        <v>2665</v>
      </c>
      <c r="I522" t="s">
        <v>227</v>
      </c>
      <c r="J522" t="s">
        <v>1847</v>
      </c>
      <c r="K522" t="s">
        <v>1670</v>
      </c>
      <c r="L522" t="s">
        <v>931</v>
      </c>
      <c r="M522">
        <v>369529</v>
      </c>
      <c r="N522" s="25">
        <v>75605492</v>
      </c>
      <c r="O522" s="26">
        <v>133</v>
      </c>
      <c r="P522" t="s">
        <v>204</v>
      </c>
    </row>
    <row r="523" spans="1:16" ht="15" customHeight="1" x14ac:dyDescent="0.3">
      <c r="A523" t="s">
        <v>2666</v>
      </c>
      <c r="B523" t="s">
        <v>1596</v>
      </c>
      <c r="C523" t="s">
        <v>146</v>
      </c>
      <c r="D523" t="s">
        <v>1137</v>
      </c>
      <c r="E523" t="s">
        <v>1436</v>
      </c>
      <c r="F523">
        <v>7.9</v>
      </c>
      <c r="G523">
        <v>87</v>
      </c>
      <c r="H523" t="s">
        <v>919</v>
      </c>
      <c r="I523" t="s">
        <v>1375</v>
      </c>
      <c r="J523" t="s">
        <v>2667</v>
      </c>
      <c r="K523" t="s">
        <v>2668</v>
      </c>
      <c r="L523" t="s">
        <v>2669</v>
      </c>
      <c r="M523">
        <v>124339</v>
      </c>
      <c r="N523" s="25">
        <v>30000000</v>
      </c>
      <c r="O523" s="26">
        <v>197</v>
      </c>
      <c r="P523" t="s">
        <v>124</v>
      </c>
    </row>
    <row r="524" spans="1:16" ht="15" customHeight="1" x14ac:dyDescent="0.3">
      <c r="A524" t="s">
        <v>2670</v>
      </c>
      <c r="B524" t="s">
        <v>206</v>
      </c>
      <c r="C524" t="s">
        <v>78</v>
      </c>
      <c r="D524" t="s">
        <v>271</v>
      </c>
      <c r="E524" t="s">
        <v>1549</v>
      </c>
      <c r="F524">
        <v>8.4</v>
      </c>
      <c r="G524">
        <v>87</v>
      </c>
      <c r="H524" t="s">
        <v>2671</v>
      </c>
      <c r="I524" t="s">
        <v>2672</v>
      </c>
      <c r="J524" t="s">
        <v>2673</v>
      </c>
      <c r="K524" t="s">
        <v>2674</v>
      </c>
      <c r="L524" t="s">
        <v>2675</v>
      </c>
      <c r="M524">
        <v>375110</v>
      </c>
      <c r="N524" s="25">
        <v>190241310</v>
      </c>
      <c r="O524" s="26">
        <v>117</v>
      </c>
      <c r="P524" t="s">
        <v>572</v>
      </c>
    </row>
    <row r="525" spans="1:16" ht="15" customHeight="1" x14ac:dyDescent="0.3">
      <c r="A525" t="s">
        <v>2676</v>
      </c>
      <c r="B525" t="s">
        <v>2419</v>
      </c>
      <c r="C525" t="s">
        <v>146</v>
      </c>
      <c r="D525" t="s">
        <v>279</v>
      </c>
      <c r="E525" t="s">
        <v>2677</v>
      </c>
      <c r="F525">
        <v>8</v>
      </c>
      <c r="G525">
        <v>87</v>
      </c>
      <c r="H525" t="s">
        <v>607</v>
      </c>
      <c r="I525" t="s">
        <v>1419</v>
      </c>
      <c r="J525" t="s">
        <v>1348</v>
      </c>
      <c r="K525" t="s">
        <v>2678</v>
      </c>
      <c r="L525" t="s">
        <v>2679</v>
      </c>
      <c r="M525">
        <v>543388</v>
      </c>
      <c r="N525" s="25">
        <v>260000000</v>
      </c>
      <c r="O525" s="26">
        <v>124</v>
      </c>
      <c r="P525" t="s">
        <v>124</v>
      </c>
    </row>
    <row r="526" spans="1:16" ht="15" customHeight="1" x14ac:dyDescent="0.3">
      <c r="A526" t="s">
        <v>2680</v>
      </c>
      <c r="B526" t="s">
        <v>294</v>
      </c>
      <c r="C526" t="s">
        <v>2681</v>
      </c>
      <c r="D526" t="s">
        <v>478</v>
      </c>
      <c r="E526" t="s">
        <v>2544</v>
      </c>
      <c r="F526">
        <v>8</v>
      </c>
      <c r="G526">
        <v>87</v>
      </c>
      <c r="H526" t="s">
        <v>2545</v>
      </c>
      <c r="I526" t="s">
        <v>2682</v>
      </c>
      <c r="J526" t="s">
        <v>2683</v>
      </c>
      <c r="K526" t="s">
        <v>2684</v>
      </c>
      <c r="L526" t="s">
        <v>2685</v>
      </c>
      <c r="M526">
        <v>45803</v>
      </c>
      <c r="N526" s="25">
        <v>106662</v>
      </c>
      <c r="O526" s="26">
        <v>119</v>
      </c>
      <c r="P526" t="s">
        <v>71</v>
      </c>
    </row>
    <row r="527" spans="1:16" ht="15" customHeight="1" x14ac:dyDescent="0.3">
      <c r="A527" t="s">
        <v>2686</v>
      </c>
      <c r="B527" t="s">
        <v>2687</v>
      </c>
      <c r="C527" t="s">
        <v>146</v>
      </c>
      <c r="D527" t="s">
        <v>315</v>
      </c>
      <c r="E527" t="s">
        <v>466</v>
      </c>
      <c r="F527">
        <v>7.7</v>
      </c>
      <c r="G527">
        <v>87</v>
      </c>
      <c r="H527" t="s">
        <v>2688</v>
      </c>
      <c r="I527" t="s">
        <v>330</v>
      </c>
      <c r="J527" t="s">
        <v>2689</v>
      </c>
      <c r="K527" t="s">
        <v>2690</v>
      </c>
      <c r="L527" t="s">
        <v>2691</v>
      </c>
      <c r="M527">
        <v>174119</v>
      </c>
      <c r="N527" s="25">
        <v>51081062</v>
      </c>
      <c r="O527" s="26">
        <v>110</v>
      </c>
      <c r="P527" t="s">
        <v>96</v>
      </c>
    </row>
    <row r="528" spans="1:16" ht="15" customHeight="1" x14ac:dyDescent="0.3">
      <c r="A528" t="s">
        <v>2692</v>
      </c>
      <c r="B528" t="s">
        <v>261</v>
      </c>
      <c r="C528" t="s">
        <v>146</v>
      </c>
      <c r="D528" t="s">
        <v>207</v>
      </c>
      <c r="E528" t="s">
        <v>301</v>
      </c>
      <c r="F528">
        <v>7.7</v>
      </c>
      <c r="G528">
        <v>87</v>
      </c>
      <c r="H528" t="s">
        <v>2065</v>
      </c>
      <c r="I528" t="s">
        <v>1018</v>
      </c>
      <c r="J528" t="s">
        <v>2447</v>
      </c>
      <c r="K528" t="s">
        <v>933</v>
      </c>
      <c r="L528" t="s">
        <v>2693</v>
      </c>
      <c r="M528">
        <v>323103</v>
      </c>
      <c r="N528" s="25">
        <v>83043761</v>
      </c>
      <c r="O528" s="26">
        <v>134</v>
      </c>
      <c r="P528" t="s">
        <v>71</v>
      </c>
    </row>
    <row r="529" spans="1:16" ht="15" customHeight="1" x14ac:dyDescent="0.3">
      <c r="A529" t="s">
        <v>2694</v>
      </c>
      <c r="B529" t="s">
        <v>483</v>
      </c>
      <c r="C529" t="s">
        <v>146</v>
      </c>
      <c r="D529" t="s">
        <v>2695</v>
      </c>
      <c r="E529" t="s">
        <v>2696</v>
      </c>
      <c r="F529">
        <v>7.7</v>
      </c>
      <c r="G529">
        <v>87</v>
      </c>
      <c r="H529" t="s">
        <v>412</v>
      </c>
      <c r="I529" t="s">
        <v>2697</v>
      </c>
      <c r="J529" t="s">
        <v>2268</v>
      </c>
      <c r="K529" t="s">
        <v>2698</v>
      </c>
      <c r="L529" t="s">
        <v>2699</v>
      </c>
      <c r="M529">
        <v>233106</v>
      </c>
      <c r="N529" s="25">
        <v>47000000</v>
      </c>
      <c r="O529" s="26">
        <v>91</v>
      </c>
      <c r="P529" t="s">
        <v>162</v>
      </c>
    </row>
    <row r="530" spans="1:16" ht="15" customHeight="1" x14ac:dyDescent="0.3">
      <c r="A530" t="s">
        <v>2700</v>
      </c>
      <c r="B530" t="s">
        <v>547</v>
      </c>
      <c r="C530" t="s">
        <v>146</v>
      </c>
      <c r="D530" t="s">
        <v>478</v>
      </c>
      <c r="E530" t="s">
        <v>905</v>
      </c>
      <c r="F530">
        <v>7.7</v>
      </c>
      <c r="G530">
        <v>87</v>
      </c>
      <c r="H530" t="s">
        <v>1163</v>
      </c>
      <c r="I530" t="s">
        <v>2701</v>
      </c>
      <c r="J530" t="s">
        <v>1472</v>
      </c>
      <c r="K530" t="s">
        <v>195</v>
      </c>
      <c r="L530" t="s">
        <v>2702</v>
      </c>
      <c r="M530">
        <v>580291</v>
      </c>
      <c r="N530" s="25">
        <v>42340598</v>
      </c>
      <c r="O530" s="26">
        <v>119</v>
      </c>
      <c r="P530" t="s">
        <v>135</v>
      </c>
    </row>
    <row r="531" spans="1:16" ht="15" customHeight="1" x14ac:dyDescent="0.3">
      <c r="A531" t="s">
        <v>2703</v>
      </c>
      <c r="B531" t="s">
        <v>107</v>
      </c>
      <c r="C531" t="s">
        <v>99</v>
      </c>
      <c r="D531" t="s">
        <v>89</v>
      </c>
      <c r="E531" t="s">
        <v>118</v>
      </c>
      <c r="F531">
        <v>7.7</v>
      </c>
      <c r="G531">
        <v>87</v>
      </c>
      <c r="H531" t="s">
        <v>2704</v>
      </c>
      <c r="I531" t="s">
        <v>2705</v>
      </c>
      <c r="J531" t="s">
        <v>2706</v>
      </c>
      <c r="K531" t="s">
        <v>2707</v>
      </c>
      <c r="L531" t="s">
        <v>2708</v>
      </c>
      <c r="M531">
        <v>112298</v>
      </c>
      <c r="N531" s="25">
        <v>17654912</v>
      </c>
      <c r="O531" s="26">
        <v>115</v>
      </c>
      <c r="P531" t="s">
        <v>124</v>
      </c>
    </row>
    <row r="532" spans="1:16" ht="15" customHeight="1" x14ac:dyDescent="0.3">
      <c r="A532" t="s">
        <v>2709</v>
      </c>
      <c r="B532" t="s">
        <v>164</v>
      </c>
      <c r="C532" t="s">
        <v>78</v>
      </c>
      <c r="D532" t="s">
        <v>108</v>
      </c>
      <c r="E532" t="s">
        <v>90</v>
      </c>
      <c r="F532">
        <v>7.8</v>
      </c>
      <c r="G532">
        <v>87</v>
      </c>
      <c r="H532" t="s">
        <v>2710</v>
      </c>
      <c r="I532" t="s">
        <v>453</v>
      </c>
      <c r="J532" t="s">
        <v>2711</v>
      </c>
      <c r="K532" t="s">
        <v>2712</v>
      </c>
      <c r="L532" t="s">
        <v>1939</v>
      </c>
      <c r="M532">
        <v>267684</v>
      </c>
      <c r="N532" s="25">
        <v>183875760</v>
      </c>
      <c r="O532" s="26">
        <v>130</v>
      </c>
      <c r="P532" t="s">
        <v>96</v>
      </c>
    </row>
    <row r="533" spans="1:16" ht="15" customHeight="1" x14ac:dyDescent="0.3">
      <c r="A533" t="s">
        <v>2713</v>
      </c>
      <c r="B533" t="s">
        <v>457</v>
      </c>
      <c r="C533" t="s">
        <v>146</v>
      </c>
      <c r="D533" t="s">
        <v>108</v>
      </c>
      <c r="E533" t="s">
        <v>280</v>
      </c>
      <c r="F533">
        <v>7.7</v>
      </c>
      <c r="G533">
        <v>87</v>
      </c>
      <c r="H533" t="s">
        <v>2626</v>
      </c>
      <c r="I533" t="s">
        <v>505</v>
      </c>
      <c r="J533" t="s">
        <v>2714</v>
      </c>
      <c r="K533" t="s">
        <v>2715</v>
      </c>
      <c r="L533" t="s">
        <v>2716</v>
      </c>
      <c r="M533">
        <v>109941</v>
      </c>
      <c r="N533" s="25">
        <v>29800000</v>
      </c>
      <c r="O533" s="26">
        <v>130</v>
      </c>
      <c r="P533" t="s">
        <v>204</v>
      </c>
    </row>
    <row r="534" spans="1:16" ht="15" customHeight="1" x14ac:dyDescent="0.3">
      <c r="A534" t="s">
        <v>2717</v>
      </c>
      <c r="B534" t="s">
        <v>2718</v>
      </c>
      <c r="C534" t="s">
        <v>1372</v>
      </c>
      <c r="D534" t="s">
        <v>1269</v>
      </c>
      <c r="E534" t="s">
        <v>1119</v>
      </c>
      <c r="F534">
        <v>8.1</v>
      </c>
      <c r="G534">
        <v>87</v>
      </c>
      <c r="H534" t="s">
        <v>1543</v>
      </c>
      <c r="I534" t="s">
        <v>2719</v>
      </c>
      <c r="J534" t="s">
        <v>2720</v>
      </c>
      <c r="K534" t="s">
        <v>2721</v>
      </c>
      <c r="L534" t="s">
        <v>2722</v>
      </c>
      <c r="M534">
        <v>94016</v>
      </c>
      <c r="N534" s="25">
        <v>4360000</v>
      </c>
      <c r="O534" s="26">
        <v>105</v>
      </c>
      <c r="P534" t="s">
        <v>135</v>
      </c>
    </row>
    <row r="535" spans="1:16" ht="15" customHeight="1" x14ac:dyDescent="0.3">
      <c r="A535" t="s">
        <v>2723</v>
      </c>
      <c r="B535" t="s">
        <v>389</v>
      </c>
      <c r="C535" t="s">
        <v>99</v>
      </c>
      <c r="D535" t="s">
        <v>2724</v>
      </c>
      <c r="E535" t="s">
        <v>559</v>
      </c>
      <c r="F535">
        <v>8.6999999999999993</v>
      </c>
      <c r="G535">
        <v>87</v>
      </c>
      <c r="H535" t="s">
        <v>437</v>
      </c>
      <c r="I535" t="s">
        <v>2725</v>
      </c>
      <c r="J535" t="s">
        <v>439</v>
      </c>
      <c r="K535" t="s">
        <v>1158</v>
      </c>
      <c r="L535" t="s">
        <v>683</v>
      </c>
      <c r="M535">
        <v>1485555</v>
      </c>
      <c r="N535" s="25">
        <v>342551365</v>
      </c>
      <c r="O535" s="26">
        <v>179</v>
      </c>
      <c r="P535" t="s">
        <v>96</v>
      </c>
    </row>
    <row r="536" spans="1:16" ht="15" customHeight="1" x14ac:dyDescent="0.3">
      <c r="A536" t="s">
        <v>2726</v>
      </c>
      <c r="B536" t="s">
        <v>641</v>
      </c>
      <c r="C536" t="s">
        <v>78</v>
      </c>
      <c r="D536" t="s">
        <v>496</v>
      </c>
      <c r="E536" t="s">
        <v>419</v>
      </c>
      <c r="F536">
        <v>8.5</v>
      </c>
      <c r="G536">
        <v>87</v>
      </c>
      <c r="H536" t="s">
        <v>420</v>
      </c>
      <c r="I536" t="s">
        <v>421</v>
      </c>
      <c r="J536" t="s">
        <v>422</v>
      </c>
      <c r="K536" t="s">
        <v>423</v>
      </c>
      <c r="L536" t="s">
        <v>659</v>
      </c>
      <c r="M536">
        <v>1058081</v>
      </c>
      <c r="N536" s="25">
        <v>210609762</v>
      </c>
      <c r="O536" s="26">
        <v>116</v>
      </c>
      <c r="P536" t="s">
        <v>124</v>
      </c>
    </row>
    <row r="537" spans="1:16" ht="15" customHeight="1" x14ac:dyDescent="0.3">
      <c r="A537" t="s">
        <v>2727</v>
      </c>
      <c r="B537" t="s">
        <v>510</v>
      </c>
      <c r="C537" t="s">
        <v>146</v>
      </c>
      <c r="D537" t="s">
        <v>89</v>
      </c>
      <c r="E537" t="s">
        <v>263</v>
      </c>
      <c r="F537">
        <v>8.1999999999999993</v>
      </c>
      <c r="G537">
        <v>88</v>
      </c>
      <c r="H537" t="s">
        <v>945</v>
      </c>
      <c r="I537" t="s">
        <v>2339</v>
      </c>
      <c r="J537" t="s">
        <v>104</v>
      </c>
      <c r="K537" t="s">
        <v>937</v>
      </c>
      <c r="L537" t="s">
        <v>2728</v>
      </c>
      <c r="M537">
        <v>432610</v>
      </c>
      <c r="N537" s="25">
        <v>54513740</v>
      </c>
      <c r="O537" s="26">
        <v>115</v>
      </c>
      <c r="P537" t="s">
        <v>135</v>
      </c>
    </row>
    <row r="538" spans="1:16" ht="15" customHeight="1" x14ac:dyDescent="0.3">
      <c r="A538" t="s">
        <v>2729</v>
      </c>
      <c r="B538" t="s">
        <v>510</v>
      </c>
      <c r="C538" t="s">
        <v>78</v>
      </c>
      <c r="D538" t="s">
        <v>155</v>
      </c>
      <c r="E538" t="s">
        <v>643</v>
      </c>
      <c r="F538">
        <v>7.8</v>
      </c>
      <c r="G538">
        <v>88</v>
      </c>
      <c r="H538" t="s">
        <v>2730</v>
      </c>
      <c r="I538" t="s">
        <v>2731</v>
      </c>
      <c r="J538" t="s">
        <v>2732</v>
      </c>
      <c r="K538" t="s">
        <v>2733</v>
      </c>
      <c r="L538" t="s">
        <v>2734</v>
      </c>
      <c r="M538">
        <v>61594</v>
      </c>
      <c r="N538" s="25">
        <v>40442052</v>
      </c>
      <c r="O538" s="26">
        <v>103</v>
      </c>
      <c r="P538" t="s">
        <v>124</v>
      </c>
    </row>
    <row r="539" spans="1:16" ht="15" customHeight="1" x14ac:dyDescent="0.3">
      <c r="A539" t="s">
        <v>2735</v>
      </c>
      <c r="B539" t="s">
        <v>779</v>
      </c>
      <c r="C539" t="s">
        <v>88</v>
      </c>
      <c r="D539" t="s">
        <v>1084</v>
      </c>
      <c r="E539" t="s">
        <v>90</v>
      </c>
      <c r="F539">
        <v>7.6</v>
      </c>
      <c r="G539">
        <v>88</v>
      </c>
      <c r="H539" t="s">
        <v>2736</v>
      </c>
      <c r="I539" t="s">
        <v>1334</v>
      </c>
      <c r="J539" t="s">
        <v>1799</v>
      </c>
      <c r="K539" t="s">
        <v>1193</v>
      </c>
      <c r="L539" t="s">
        <v>2737</v>
      </c>
      <c r="M539">
        <v>204175</v>
      </c>
      <c r="N539" s="25">
        <v>26862450</v>
      </c>
      <c r="O539" s="26">
        <v>102</v>
      </c>
      <c r="P539" t="s">
        <v>96</v>
      </c>
    </row>
    <row r="540" spans="1:16" ht="15" customHeight="1" x14ac:dyDescent="0.3">
      <c r="A540" t="s">
        <v>2738</v>
      </c>
      <c r="B540" t="s">
        <v>574</v>
      </c>
      <c r="C540" t="s">
        <v>78</v>
      </c>
      <c r="D540" t="s">
        <v>819</v>
      </c>
      <c r="E540" t="s">
        <v>1241</v>
      </c>
      <c r="F540">
        <v>7.9</v>
      </c>
      <c r="G540">
        <v>88</v>
      </c>
      <c r="H540" t="s">
        <v>2739</v>
      </c>
      <c r="I540" t="s">
        <v>2740</v>
      </c>
      <c r="J540" t="s">
        <v>2053</v>
      </c>
      <c r="K540" t="s">
        <v>578</v>
      </c>
      <c r="L540" t="s">
        <v>2452</v>
      </c>
      <c r="M540">
        <v>527512</v>
      </c>
      <c r="N540" s="25">
        <v>245852179</v>
      </c>
      <c r="O540" s="26">
        <v>92</v>
      </c>
      <c r="P540" t="s">
        <v>572</v>
      </c>
    </row>
    <row r="541" spans="1:16" ht="15" customHeight="1" x14ac:dyDescent="0.3">
      <c r="A541" t="s">
        <v>2741</v>
      </c>
      <c r="B541" t="s">
        <v>547</v>
      </c>
      <c r="C541" t="s">
        <v>99</v>
      </c>
      <c r="D541" t="s">
        <v>886</v>
      </c>
      <c r="E541" t="s">
        <v>1111</v>
      </c>
      <c r="F541">
        <v>8.1</v>
      </c>
      <c r="G541">
        <v>88</v>
      </c>
      <c r="H541" t="s">
        <v>1813</v>
      </c>
      <c r="I541" t="s">
        <v>2434</v>
      </c>
      <c r="J541" t="s">
        <v>2742</v>
      </c>
      <c r="K541" t="s">
        <v>2743</v>
      </c>
      <c r="L541" t="s">
        <v>2575</v>
      </c>
      <c r="M541">
        <v>707630</v>
      </c>
      <c r="N541" s="25">
        <v>59100318</v>
      </c>
      <c r="O541" s="26">
        <v>99</v>
      </c>
      <c r="P541" t="s">
        <v>124</v>
      </c>
    </row>
    <row r="542" spans="1:16" ht="15" customHeight="1" x14ac:dyDescent="0.3">
      <c r="A542" t="s">
        <v>2744</v>
      </c>
      <c r="B542" t="s">
        <v>126</v>
      </c>
      <c r="C542" t="s">
        <v>78</v>
      </c>
      <c r="D542" t="s">
        <v>117</v>
      </c>
      <c r="E542" t="s">
        <v>1057</v>
      </c>
      <c r="F542">
        <v>8</v>
      </c>
      <c r="G542">
        <v>88</v>
      </c>
      <c r="H542" t="s">
        <v>2745</v>
      </c>
      <c r="I542" t="s">
        <v>549</v>
      </c>
      <c r="J542" t="s">
        <v>217</v>
      </c>
      <c r="K542" t="s">
        <v>2746</v>
      </c>
      <c r="L542" t="s">
        <v>2747</v>
      </c>
      <c r="M542">
        <v>639603</v>
      </c>
      <c r="N542" s="25">
        <v>138797449</v>
      </c>
      <c r="O542" s="26">
        <v>118</v>
      </c>
      <c r="P542" t="s">
        <v>204</v>
      </c>
    </row>
    <row r="543" spans="1:16" ht="15" customHeight="1" x14ac:dyDescent="0.3">
      <c r="A543" t="s">
        <v>2748</v>
      </c>
      <c r="B543" t="s">
        <v>417</v>
      </c>
      <c r="C543" t="s">
        <v>78</v>
      </c>
      <c r="D543" t="s">
        <v>1819</v>
      </c>
      <c r="E543" t="s">
        <v>2310</v>
      </c>
      <c r="F543">
        <v>7.6</v>
      </c>
      <c r="G543">
        <v>88</v>
      </c>
      <c r="H543" t="s">
        <v>2213</v>
      </c>
      <c r="I543" t="s">
        <v>2214</v>
      </c>
      <c r="J543" t="s">
        <v>2749</v>
      </c>
      <c r="K543" t="s">
        <v>2750</v>
      </c>
      <c r="L543" t="s">
        <v>2751</v>
      </c>
      <c r="M543">
        <v>237696</v>
      </c>
      <c r="N543" s="25">
        <v>111543479</v>
      </c>
      <c r="O543" s="26">
        <v>83</v>
      </c>
      <c r="P543" t="s">
        <v>572</v>
      </c>
    </row>
    <row r="544" spans="1:16" ht="15" customHeight="1" x14ac:dyDescent="0.3">
      <c r="A544" t="s">
        <v>2752</v>
      </c>
      <c r="B544" t="s">
        <v>68</v>
      </c>
      <c r="C544" t="s">
        <v>146</v>
      </c>
      <c r="D544" t="s">
        <v>745</v>
      </c>
      <c r="E544" t="s">
        <v>71</v>
      </c>
      <c r="F544">
        <v>7.6</v>
      </c>
      <c r="G544">
        <v>88</v>
      </c>
      <c r="H544" t="s">
        <v>2297</v>
      </c>
      <c r="I544" t="s">
        <v>2753</v>
      </c>
      <c r="J544" t="s">
        <v>1692</v>
      </c>
      <c r="K544" t="s">
        <v>2754</v>
      </c>
      <c r="L544" t="s">
        <v>2755</v>
      </c>
      <c r="M544">
        <v>115827</v>
      </c>
      <c r="N544" s="25">
        <v>13622333</v>
      </c>
      <c r="O544" s="26">
        <v>106</v>
      </c>
      <c r="P544" t="s">
        <v>71</v>
      </c>
    </row>
    <row r="545" spans="1:16" ht="15" customHeight="1" x14ac:dyDescent="0.3">
      <c r="A545" t="s">
        <v>2756</v>
      </c>
      <c r="B545" t="s">
        <v>2757</v>
      </c>
      <c r="C545" t="s">
        <v>146</v>
      </c>
      <c r="D545" t="s">
        <v>839</v>
      </c>
      <c r="E545" t="s">
        <v>162</v>
      </c>
      <c r="F545">
        <v>7.8</v>
      </c>
      <c r="G545">
        <v>88</v>
      </c>
      <c r="H545" t="s">
        <v>2758</v>
      </c>
      <c r="I545" t="s">
        <v>2526</v>
      </c>
      <c r="J545" t="s">
        <v>2759</v>
      </c>
      <c r="K545" t="s">
        <v>2760</v>
      </c>
      <c r="L545" t="s">
        <v>2761</v>
      </c>
      <c r="M545">
        <v>27007</v>
      </c>
      <c r="N545" s="25">
        <v>2616000</v>
      </c>
      <c r="O545" s="26">
        <v>100</v>
      </c>
      <c r="P545" t="s">
        <v>162</v>
      </c>
    </row>
    <row r="546" spans="1:16" ht="15" customHeight="1" x14ac:dyDescent="0.3">
      <c r="A546" t="s">
        <v>2762</v>
      </c>
      <c r="B546" t="s">
        <v>206</v>
      </c>
      <c r="C546" t="s">
        <v>99</v>
      </c>
      <c r="D546" t="s">
        <v>960</v>
      </c>
      <c r="E546" t="s">
        <v>443</v>
      </c>
      <c r="F546">
        <v>7.6</v>
      </c>
      <c r="G546">
        <v>88</v>
      </c>
      <c r="H546" t="s">
        <v>1473</v>
      </c>
      <c r="I546" t="s">
        <v>2763</v>
      </c>
      <c r="J546" t="s">
        <v>1473</v>
      </c>
      <c r="K546" t="s">
        <v>252</v>
      </c>
      <c r="L546" t="s">
        <v>2764</v>
      </c>
      <c r="M546">
        <v>334312</v>
      </c>
      <c r="N546" s="25">
        <v>215288866</v>
      </c>
      <c r="O546" s="26">
        <v>136</v>
      </c>
      <c r="P546" t="s">
        <v>71</v>
      </c>
    </row>
    <row r="547" spans="1:16" ht="15" customHeight="1" x14ac:dyDescent="0.3">
      <c r="A547" t="s">
        <v>2765</v>
      </c>
      <c r="B547" t="s">
        <v>2687</v>
      </c>
      <c r="C547" t="s">
        <v>78</v>
      </c>
      <c r="D547" t="s">
        <v>854</v>
      </c>
      <c r="E547" t="s">
        <v>2766</v>
      </c>
      <c r="F547">
        <v>7.8</v>
      </c>
      <c r="G547">
        <v>88</v>
      </c>
      <c r="H547" t="s">
        <v>2767</v>
      </c>
      <c r="I547" t="s">
        <v>690</v>
      </c>
      <c r="J547" t="s">
        <v>2768</v>
      </c>
      <c r="K547" t="s">
        <v>2769</v>
      </c>
      <c r="L547" t="s">
        <v>2770</v>
      </c>
      <c r="M547">
        <v>158029</v>
      </c>
      <c r="N547" s="25">
        <v>102272727</v>
      </c>
      <c r="O547" s="26">
        <v>139</v>
      </c>
      <c r="P547" t="s">
        <v>135</v>
      </c>
    </row>
    <row r="548" spans="1:16" ht="15" customHeight="1" x14ac:dyDescent="0.3">
      <c r="A548" t="s">
        <v>2771</v>
      </c>
      <c r="B548" t="s">
        <v>749</v>
      </c>
      <c r="C548" t="s">
        <v>78</v>
      </c>
      <c r="D548" t="s">
        <v>819</v>
      </c>
      <c r="E548" t="s">
        <v>129</v>
      </c>
      <c r="F548">
        <v>7.6</v>
      </c>
      <c r="G548">
        <v>88</v>
      </c>
      <c r="H548" t="s">
        <v>2638</v>
      </c>
      <c r="I548" t="s">
        <v>2772</v>
      </c>
      <c r="J548" t="s">
        <v>1932</v>
      </c>
      <c r="K548" t="s">
        <v>2773</v>
      </c>
      <c r="L548" t="s">
        <v>2774</v>
      </c>
      <c r="M548">
        <v>64390</v>
      </c>
      <c r="N548" s="25">
        <v>1464625</v>
      </c>
      <c r="O548" s="26">
        <v>92</v>
      </c>
      <c r="P548" t="s">
        <v>135</v>
      </c>
    </row>
    <row r="549" spans="1:16" ht="15" customHeight="1" x14ac:dyDescent="0.3">
      <c r="A549" t="s">
        <v>2775</v>
      </c>
      <c r="B549" t="s">
        <v>1268</v>
      </c>
      <c r="C549" t="s">
        <v>88</v>
      </c>
      <c r="D549" t="s">
        <v>2776</v>
      </c>
      <c r="E549" t="s">
        <v>1057</v>
      </c>
      <c r="F549">
        <v>8.3000000000000007</v>
      </c>
      <c r="G549">
        <v>88</v>
      </c>
      <c r="H549" t="s">
        <v>2420</v>
      </c>
      <c r="I549" t="s">
        <v>2742</v>
      </c>
      <c r="J549" t="s">
        <v>2777</v>
      </c>
      <c r="K549" t="s">
        <v>2778</v>
      </c>
      <c r="L549" t="s">
        <v>2779</v>
      </c>
      <c r="M549">
        <v>369007</v>
      </c>
      <c r="N549" s="25">
        <v>51973029</v>
      </c>
      <c r="O549" s="26">
        <v>160</v>
      </c>
      <c r="P549" t="s">
        <v>204</v>
      </c>
    </row>
    <row r="550" spans="1:16" ht="15" customHeight="1" x14ac:dyDescent="0.3">
      <c r="A550" t="s">
        <v>2780</v>
      </c>
      <c r="B550" t="s">
        <v>1371</v>
      </c>
      <c r="C550" t="s">
        <v>146</v>
      </c>
      <c r="D550" t="s">
        <v>360</v>
      </c>
      <c r="E550" t="s">
        <v>2781</v>
      </c>
      <c r="F550">
        <v>7.9</v>
      </c>
      <c r="G550">
        <v>88</v>
      </c>
      <c r="H550" t="s">
        <v>1698</v>
      </c>
      <c r="I550" t="s">
        <v>2782</v>
      </c>
      <c r="J550" t="s">
        <v>2783</v>
      </c>
      <c r="K550" t="s">
        <v>2784</v>
      </c>
      <c r="L550" t="s">
        <v>2785</v>
      </c>
      <c r="M550">
        <v>123341</v>
      </c>
      <c r="N550" s="25">
        <v>7630000</v>
      </c>
      <c r="O550" s="26">
        <v>101</v>
      </c>
      <c r="P550" t="s">
        <v>172</v>
      </c>
    </row>
    <row r="551" spans="1:16" ht="15" customHeight="1" x14ac:dyDescent="0.3">
      <c r="A551" t="s">
        <v>2786</v>
      </c>
      <c r="B551" t="s">
        <v>547</v>
      </c>
      <c r="C551" t="s">
        <v>146</v>
      </c>
      <c r="D551" t="s">
        <v>745</v>
      </c>
      <c r="E551" t="s">
        <v>369</v>
      </c>
      <c r="F551">
        <v>8.5</v>
      </c>
      <c r="G551">
        <v>88</v>
      </c>
      <c r="H551" t="s">
        <v>2787</v>
      </c>
      <c r="I551" t="s">
        <v>1404</v>
      </c>
      <c r="J551" t="s">
        <v>2788</v>
      </c>
      <c r="K551" t="s">
        <v>2789</v>
      </c>
      <c r="L551" t="s">
        <v>2517</v>
      </c>
      <c r="M551">
        <v>717585</v>
      </c>
      <c r="N551" s="25">
        <v>13092000</v>
      </c>
      <c r="O551" s="26">
        <v>106</v>
      </c>
      <c r="P551" t="s">
        <v>71</v>
      </c>
    </row>
    <row r="552" spans="1:16" ht="15" customHeight="1" x14ac:dyDescent="0.3">
      <c r="A552" t="s">
        <v>2790</v>
      </c>
      <c r="B552" t="s">
        <v>749</v>
      </c>
      <c r="C552" t="s">
        <v>78</v>
      </c>
      <c r="D552" t="s">
        <v>1291</v>
      </c>
      <c r="E552" t="s">
        <v>1191</v>
      </c>
      <c r="F552">
        <v>8.5</v>
      </c>
      <c r="G552">
        <v>88</v>
      </c>
      <c r="H552" t="s">
        <v>2791</v>
      </c>
      <c r="I552" t="s">
        <v>2792</v>
      </c>
      <c r="J552" t="s">
        <v>554</v>
      </c>
      <c r="K552" t="s">
        <v>467</v>
      </c>
      <c r="L552" t="s">
        <v>2793</v>
      </c>
      <c r="M552">
        <v>942045</v>
      </c>
      <c r="N552" s="25">
        <v>422783777</v>
      </c>
      <c r="O552" s="26">
        <v>88</v>
      </c>
      <c r="P552" t="s">
        <v>572</v>
      </c>
    </row>
    <row r="553" spans="1:16" ht="15" customHeight="1" x14ac:dyDescent="0.3">
      <c r="A553" t="s">
        <v>2794</v>
      </c>
      <c r="B553" t="s">
        <v>87</v>
      </c>
      <c r="C553" t="s">
        <v>88</v>
      </c>
      <c r="D553" t="s">
        <v>1732</v>
      </c>
      <c r="E553" t="s">
        <v>443</v>
      </c>
      <c r="F553">
        <v>7.8</v>
      </c>
      <c r="G553">
        <v>88</v>
      </c>
      <c r="H553" t="s">
        <v>2012</v>
      </c>
      <c r="I553" t="s">
        <v>2795</v>
      </c>
      <c r="J553" t="s">
        <v>2796</v>
      </c>
      <c r="K553" t="s">
        <v>2797</v>
      </c>
      <c r="L553" t="s">
        <v>2798</v>
      </c>
      <c r="M553">
        <v>110656</v>
      </c>
      <c r="N553" s="25">
        <v>9439923</v>
      </c>
      <c r="O553" s="26">
        <v>86</v>
      </c>
      <c r="P553" t="s">
        <v>71</v>
      </c>
    </row>
    <row r="554" spans="1:16" ht="15" customHeight="1" x14ac:dyDescent="0.3">
      <c r="A554" t="s">
        <v>2799</v>
      </c>
      <c r="B554" t="s">
        <v>68</v>
      </c>
      <c r="C554" t="s">
        <v>88</v>
      </c>
      <c r="D554" t="s">
        <v>79</v>
      </c>
      <c r="E554" t="s">
        <v>846</v>
      </c>
      <c r="F554">
        <v>8</v>
      </c>
      <c r="G554">
        <v>88</v>
      </c>
      <c r="H554" t="s">
        <v>2800</v>
      </c>
      <c r="I554" t="s">
        <v>1018</v>
      </c>
      <c r="J554" t="s">
        <v>2801</v>
      </c>
      <c r="K554" t="s">
        <v>1360</v>
      </c>
      <c r="L554" t="s">
        <v>2802</v>
      </c>
      <c r="M554">
        <v>740086</v>
      </c>
      <c r="N554" s="25">
        <v>1480006</v>
      </c>
      <c r="O554" s="26">
        <v>113</v>
      </c>
      <c r="P554" t="s">
        <v>71</v>
      </c>
    </row>
    <row r="555" spans="1:16" ht="15" customHeight="1" x14ac:dyDescent="0.3">
      <c r="A555" t="s">
        <v>2803</v>
      </c>
      <c r="B555" t="s">
        <v>145</v>
      </c>
      <c r="C555" t="s">
        <v>78</v>
      </c>
      <c r="D555" t="s">
        <v>341</v>
      </c>
      <c r="E555" t="s">
        <v>1793</v>
      </c>
      <c r="F555">
        <v>8</v>
      </c>
      <c r="G555">
        <v>88</v>
      </c>
      <c r="H555" t="s">
        <v>2804</v>
      </c>
      <c r="I555" t="s">
        <v>2805</v>
      </c>
      <c r="J555" t="s">
        <v>2806</v>
      </c>
      <c r="K555" t="s">
        <v>2807</v>
      </c>
      <c r="L555" t="s">
        <v>2808</v>
      </c>
      <c r="M555">
        <v>31163</v>
      </c>
      <c r="N555" s="25">
        <v>4542825</v>
      </c>
      <c r="O555" s="26">
        <v>104</v>
      </c>
      <c r="P555" t="s">
        <v>71</v>
      </c>
    </row>
    <row r="556" spans="1:16" ht="15" customHeight="1" x14ac:dyDescent="0.3">
      <c r="A556" t="s">
        <v>2809</v>
      </c>
      <c r="B556" t="s">
        <v>401</v>
      </c>
      <c r="C556" t="s">
        <v>78</v>
      </c>
      <c r="D556" t="s">
        <v>839</v>
      </c>
      <c r="E556" t="s">
        <v>129</v>
      </c>
      <c r="F556">
        <v>7.9</v>
      </c>
      <c r="G556">
        <v>89</v>
      </c>
      <c r="H556" t="s">
        <v>2810</v>
      </c>
      <c r="I556" t="s">
        <v>2811</v>
      </c>
      <c r="J556" t="s">
        <v>2546</v>
      </c>
      <c r="K556" t="s">
        <v>1116</v>
      </c>
      <c r="L556" t="s">
        <v>2812</v>
      </c>
      <c r="M556">
        <v>230624</v>
      </c>
      <c r="N556" s="25">
        <v>44671682</v>
      </c>
      <c r="O556" s="26">
        <v>100</v>
      </c>
      <c r="P556" t="s">
        <v>135</v>
      </c>
    </row>
    <row r="557" spans="1:16" ht="15" customHeight="1" x14ac:dyDescent="0.3">
      <c r="A557" t="s">
        <v>2813</v>
      </c>
      <c r="B557" t="s">
        <v>270</v>
      </c>
      <c r="C557" t="s">
        <v>99</v>
      </c>
      <c r="D557" t="s">
        <v>667</v>
      </c>
      <c r="E557" t="s">
        <v>559</v>
      </c>
      <c r="F557">
        <v>7.9</v>
      </c>
      <c r="G557">
        <v>89</v>
      </c>
      <c r="H557" t="s">
        <v>242</v>
      </c>
      <c r="I557" t="s">
        <v>356</v>
      </c>
      <c r="J557" t="s">
        <v>2814</v>
      </c>
      <c r="K557" t="s">
        <v>2815</v>
      </c>
      <c r="L557" t="s">
        <v>2816</v>
      </c>
      <c r="M557">
        <v>154011</v>
      </c>
      <c r="N557" s="25">
        <v>13756082</v>
      </c>
      <c r="O557" s="26">
        <v>141</v>
      </c>
      <c r="P557" t="s">
        <v>96</v>
      </c>
    </row>
    <row r="558" spans="1:16" ht="15" customHeight="1" x14ac:dyDescent="0.3">
      <c r="A558" t="s">
        <v>2817</v>
      </c>
      <c r="B558" t="s">
        <v>137</v>
      </c>
      <c r="C558" t="s">
        <v>99</v>
      </c>
      <c r="D558" t="s">
        <v>1084</v>
      </c>
      <c r="E558" t="s">
        <v>905</v>
      </c>
      <c r="F558">
        <v>7.7</v>
      </c>
      <c r="G558">
        <v>89</v>
      </c>
      <c r="H558" t="s">
        <v>2818</v>
      </c>
      <c r="I558" t="s">
        <v>1272</v>
      </c>
      <c r="J558" t="s">
        <v>476</v>
      </c>
      <c r="K558" t="s">
        <v>2819</v>
      </c>
      <c r="L558" t="s">
        <v>2820</v>
      </c>
      <c r="M558">
        <v>415074</v>
      </c>
      <c r="N558" s="25">
        <v>44585453</v>
      </c>
      <c r="O558" s="26">
        <v>102</v>
      </c>
      <c r="P558" t="s">
        <v>135</v>
      </c>
    </row>
    <row r="559" spans="1:16" ht="15" customHeight="1" x14ac:dyDescent="0.3">
      <c r="A559" t="s">
        <v>2821</v>
      </c>
      <c r="B559" t="s">
        <v>107</v>
      </c>
      <c r="C559" t="s">
        <v>146</v>
      </c>
      <c r="D559" t="s">
        <v>165</v>
      </c>
      <c r="E559" t="s">
        <v>301</v>
      </c>
      <c r="F559">
        <v>7.7</v>
      </c>
      <c r="G559">
        <v>89</v>
      </c>
      <c r="H559" t="s">
        <v>2822</v>
      </c>
      <c r="I559" t="s">
        <v>2823</v>
      </c>
      <c r="J559" t="s">
        <v>2824</v>
      </c>
      <c r="K559" t="s">
        <v>2825</v>
      </c>
      <c r="L559" t="s">
        <v>2826</v>
      </c>
      <c r="M559">
        <v>138741</v>
      </c>
      <c r="N559" s="25">
        <v>2199675</v>
      </c>
      <c r="O559" s="26">
        <v>180</v>
      </c>
      <c r="P559" t="s">
        <v>71</v>
      </c>
    </row>
    <row r="560" spans="1:16" ht="15" customHeight="1" x14ac:dyDescent="0.3">
      <c r="A560" t="s">
        <v>2827</v>
      </c>
      <c r="B560" t="s">
        <v>77</v>
      </c>
      <c r="C560" t="s">
        <v>99</v>
      </c>
      <c r="D560" t="s">
        <v>418</v>
      </c>
      <c r="E560" t="s">
        <v>2828</v>
      </c>
      <c r="F560">
        <v>8.3000000000000007</v>
      </c>
      <c r="G560">
        <v>89</v>
      </c>
      <c r="H560" t="s">
        <v>2829</v>
      </c>
      <c r="I560" t="s">
        <v>2830</v>
      </c>
      <c r="J560" t="s">
        <v>942</v>
      </c>
      <c r="K560" t="s">
        <v>2492</v>
      </c>
      <c r="L560" t="s">
        <v>2831</v>
      </c>
      <c r="M560">
        <v>911664</v>
      </c>
      <c r="N560" s="25">
        <v>34400301</v>
      </c>
      <c r="O560" s="26">
        <v>108</v>
      </c>
      <c r="P560" t="s">
        <v>71</v>
      </c>
    </row>
    <row r="561" spans="1:16" ht="15" customHeight="1" x14ac:dyDescent="0.3">
      <c r="A561" t="s">
        <v>2832</v>
      </c>
      <c r="B561" t="s">
        <v>107</v>
      </c>
      <c r="C561" t="s">
        <v>78</v>
      </c>
      <c r="D561" t="s">
        <v>1655</v>
      </c>
      <c r="E561" t="s">
        <v>1191</v>
      </c>
      <c r="F561">
        <v>8</v>
      </c>
      <c r="G561">
        <v>89</v>
      </c>
      <c r="H561" t="s">
        <v>2833</v>
      </c>
      <c r="I561" t="s">
        <v>871</v>
      </c>
      <c r="J561" t="s">
        <v>1682</v>
      </c>
      <c r="K561" t="s">
        <v>1498</v>
      </c>
      <c r="L561" t="s">
        <v>2834</v>
      </c>
      <c r="M561">
        <v>38746</v>
      </c>
      <c r="N561" s="25">
        <v>1506975</v>
      </c>
      <c r="O561" s="26">
        <v>137</v>
      </c>
      <c r="P561" t="s">
        <v>572</v>
      </c>
    </row>
    <row r="562" spans="1:16" ht="15" customHeight="1" x14ac:dyDescent="0.3">
      <c r="A562" t="s">
        <v>2835</v>
      </c>
      <c r="B562" t="s">
        <v>270</v>
      </c>
      <c r="C562" t="s">
        <v>146</v>
      </c>
      <c r="D562" t="s">
        <v>1655</v>
      </c>
      <c r="E562" t="s">
        <v>718</v>
      </c>
      <c r="F562">
        <v>8.4</v>
      </c>
      <c r="G562">
        <v>89</v>
      </c>
      <c r="H562" t="s">
        <v>2836</v>
      </c>
      <c r="I562" t="s">
        <v>2837</v>
      </c>
      <c r="J562" t="s">
        <v>2838</v>
      </c>
      <c r="K562" t="s">
        <v>1287</v>
      </c>
      <c r="L562" t="s">
        <v>2292</v>
      </c>
      <c r="M562">
        <v>358685</v>
      </c>
      <c r="N562" s="25">
        <v>11286112</v>
      </c>
      <c r="O562" s="26">
        <v>137</v>
      </c>
      <c r="P562" t="s">
        <v>71</v>
      </c>
    </row>
    <row r="563" spans="1:16" ht="15" customHeight="1" x14ac:dyDescent="0.3">
      <c r="A563" t="s">
        <v>2839</v>
      </c>
      <c r="B563" t="s">
        <v>2840</v>
      </c>
      <c r="C563" t="s">
        <v>127</v>
      </c>
      <c r="D563" t="s">
        <v>725</v>
      </c>
      <c r="E563" t="s">
        <v>2841</v>
      </c>
      <c r="F563">
        <v>7.9</v>
      </c>
      <c r="G563">
        <v>89</v>
      </c>
      <c r="H563" t="s">
        <v>1345</v>
      </c>
      <c r="I563" t="s">
        <v>2842</v>
      </c>
      <c r="J563" t="s">
        <v>1700</v>
      </c>
      <c r="K563" t="s">
        <v>2843</v>
      </c>
      <c r="L563" t="s">
        <v>2844</v>
      </c>
      <c r="M563">
        <v>97222</v>
      </c>
      <c r="N563" s="25">
        <v>9450000</v>
      </c>
      <c r="O563" s="26">
        <v>85</v>
      </c>
      <c r="P563" t="s">
        <v>71</v>
      </c>
    </row>
    <row r="564" spans="1:16" ht="15" customHeight="1" x14ac:dyDescent="0.3">
      <c r="A564" t="s">
        <v>2845</v>
      </c>
      <c r="B564" t="s">
        <v>538</v>
      </c>
      <c r="C564" t="s">
        <v>146</v>
      </c>
      <c r="D564" t="s">
        <v>190</v>
      </c>
      <c r="E564" t="s">
        <v>199</v>
      </c>
      <c r="F564">
        <v>8.1999999999999993</v>
      </c>
      <c r="G564">
        <v>89</v>
      </c>
      <c r="H564" t="s">
        <v>701</v>
      </c>
      <c r="I564" t="s">
        <v>225</v>
      </c>
      <c r="J564" t="s">
        <v>2846</v>
      </c>
      <c r="K564" t="s">
        <v>677</v>
      </c>
      <c r="L564" t="s">
        <v>2847</v>
      </c>
      <c r="M564">
        <v>321860</v>
      </c>
      <c r="N564" s="25">
        <v>23383987</v>
      </c>
      <c r="O564" s="26">
        <v>129</v>
      </c>
      <c r="P564" t="s">
        <v>204</v>
      </c>
    </row>
    <row r="565" spans="1:16" ht="15" customHeight="1" x14ac:dyDescent="0.3">
      <c r="A565" t="s">
        <v>2848</v>
      </c>
      <c r="B565" t="s">
        <v>116</v>
      </c>
      <c r="C565" t="s">
        <v>78</v>
      </c>
      <c r="D565" t="s">
        <v>155</v>
      </c>
      <c r="E565" t="s">
        <v>905</v>
      </c>
      <c r="F565">
        <v>8.1</v>
      </c>
      <c r="G565">
        <v>90</v>
      </c>
      <c r="H565" t="s">
        <v>2084</v>
      </c>
      <c r="I565" t="s">
        <v>2830</v>
      </c>
      <c r="J565" t="s">
        <v>311</v>
      </c>
      <c r="K565" t="s">
        <v>194</v>
      </c>
      <c r="L565" t="s">
        <v>2849</v>
      </c>
      <c r="M565">
        <v>939631</v>
      </c>
      <c r="N565" s="25">
        <v>125618201</v>
      </c>
      <c r="O565" s="26">
        <v>103</v>
      </c>
      <c r="P565" t="s">
        <v>135</v>
      </c>
    </row>
    <row r="566" spans="1:16" ht="15" customHeight="1" x14ac:dyDescent="0.3">
      <c r="A566" t="s">
        <v>2850</v>
      </c>
      <c r="B566" t="s">
        <v>286</v>
      </c>
      <c r="C566" t="s">
        <v>146</v>
      </c>
      <c r="D566" t="s">
        <v>612</v>
      </c>
      <c r="E566" t="s">
        <v>191</v>
      </c>
      <c r="F566">
        <v>8.1999999999999993</v>
      </c>
      <c r="G566">
        <v>90</v>
      </c>
      <c r="H566" t="s">
        <v>2851</v>
      </c>
      <c r="I566" t="s">
        <v>815</v>
      </c>
      <c r="J566" t="s">
        <v>926</v>
      </c>
      <c r="K566" t="s">
        <v>562</v>
      </c>
      <c r="L566" t="s">
        <v>2852</v>
      </c>
      <c r="M566">
        <v>531967</v>
      </c>
      <c r="N566" s="25">
        <v>64616940</v>
      </c>
      <c r="O566" s="26">
        <v>138</v>
      </c>
      <c r="P566" t="s">
        <v>172</v>
      </c>
    </row>
    <row r="567" spans="1:16" ht="15" customHeight="1" x14ac:dyDescent="0.3">
      <c r="A567" t="s">
        <v>2853</v>
      </c>
      <c r="B567" t="s">
        <v>87</v>
      </c>
      <c r="C567" t="s">
        <v>69</v>
      </c>
      <c r="D567" t="s">
        <v>1882</v>
      </c>
      <c r="E567" t="s">
        <v>2377</v>
      </c>
      <c r="F567">
        <v>8</v>
      </c>
      <c r="G567">
        <v>90</v>
      </c>
      <c r="H567" t="s">
        <v>2854</v>
      </c>
      <c r="I567" t="s">
        <v>2855</v>
      </c>
      <c r="J567" t="s">
        <v>2856</v>
      </c>
      <c r="K567" t="s">
        <v>586</v>
      </c>
      <c r="L567" t="s">
        <v>303</v>
      </c>
      <c r="M567">
        <v>88656</v>
      </c>
      <c r="N567" s="25">
        <v>4445756</v>
      </c>
      <c r="O567" s="26">
        <v>96</v>
      </c>
      <c r="P567" t="s">
        <v>572</v>
      </c>
    </row>
    <row r="568" spans="1:16" ht="15" customHeight="1" x14ac:dyDescent="0.3">
      <c r="A568" t="s">
        <v>2857</v>
      </c>
      <c r="B568" t="s">
        <v>107</v>
      </c>
      <c r="C568" t="s">
        <v>146</v>
      </c>
      <c r="D568" t="s">
        <v>287</v>
      </c>
      <c r="E568" t="s">
        <v>2828</v>
      </c>
      <c r="F568">
        <v>8</v>
      </c>
      <c r="G568">
        <v>90</v>
      </c>
      <c r="H568" t="s">
        <v>2858</v>
      </c>
      <c r="I568" t="s">
        <v>492</v>
      </c>
      <c r="J568" t="s">
        <v>2044</v>
      </c>
      <c r="K568" t="s">
        <v>476</v>
      </c>
      <c r="L568" t="s">
        <v>1103</v>
      </c>
      <c r="M568">
        <v>540772</v>
      </c>
      <c r="N568" s="25">
        <v>25568251</v>
      </c>
      <c r="O568" s="26">
        <v>126</v>
      </c>
      <c r="P568" t="s">
        <v>71</v>
      </c>
    </row>
    <row r="569" spans="1:16" ht="15" customHeight="1" x14ac:dyDescent="0.3">
      <c r="A569" t="s">
        <v>2859</v>
      </c>
      <c r="B569" t="s">
        <v>2860</v>
      </c>
      <c r="C569" t="s">
        <v>78</v>
      </c>
      <c r="D569" t="s">
        <v>612</v>
      </c>
      <c r="E569" t="s">
        <v>2222</v>
      </c>
      <c r="F569">
        <v>7.6</v>
      </c>
      <c r="G569">
        <v>90</v>
      </c>
      <c r="H569" t="s">
        <v>607</v>
      </c>
      <c r="I569" t="s">
        <v>2678</v>
      </c>
      <c r="J569" t="s">
        <v>2861</v>
      </c>
      <c r="K569" t="s">
        <v>2862</v>
      </c>
      <c r="L569" t="s">
        <v>1899</v>
      </c>
      <c r="M569">
        <v>184966</v>
      </c>
      <c r="N569" s="25">
        <v>132088635</v>
      </c>
      <c r="O569" s="26">
        <v>138</v>
      </c>
      <c r="P569" t="s">
        <v>71</v>
      </c>
    </row>
    <row r="570" spans="1:16" ht="15" customHeight="1" x14ac:dyDescent="0.3">
      <c r="A570" t="s">
        <v>2863</v>
      </c>
      <c r="B570" t="s">
        <v>2350</v>
      </c>
      <c r="C570" t="s">
        <v>146</v>
      </c>
      <c r="D570" t="s">
        <v>478</v>
      </c>
      <c r="E570" t="s">
        <v>2864</v>
      </c>
      <c r="F570">
        <v>7.7</v>
      </c>
      <c r="G570">
        <v>90</v>
      </c>
      <c r="H570" t="s">
        <v>1698</v>
      </c>
      <c r="I570" t="s">
        <v>2865</v>
      </c>
      <c r="J570" t="s">
        <v>2866</v>
      </c>
      <c r="K570" t="s">
        <v>756</v>
      </c>
      <c r="L570" t="s">
        <v>2867</v>
      </c>
      <c r="M570">
        <v>171739</v>
      </c>
      <c r="N570" s="25">
        <v>11403529</v>
      </c>
      <c r="O570" s="26">
        <v>119</v>
      </c>
      <c r="P570" t="s">
        <v>71</v>
      </c>
    </row>
    <row r="571" spans="1:16" ht="15" customHeight="1" x14ac:dyDescent="0.3">
      <c r="A571" t="s">
        <v>2868</v>
      </c>
      <c r="B571" t="s">
        <v>77</v>
      </c>
      <c r="C571" t="s">
        <v>88</v>
      </c>
      <c r="D571" t="s">
        <v>1534</v>
      </c>
      <c r="E571" t="s">
        <v>301</v>
      </c>
      <c r="F571">
        <v>8.1</v>
      </c>
      <c r="G571">
        <v>90</v>
      </c>
      <c r="H571" t="s">
        <v>1931</v>
      </c>
      <c r="I571" t="s">
        <v>630</v>
      </c>
      <c r="J571" t="s">
        <v>1932</v>
      </c>
      <c r="K571" t="s">
        <v>2869</v>
      </c>
      <c r="L571" t="s">
        <v>2870</v>
      </c>
      <c r="M571">
        <v>236311</v>
      </c>
      <c r="N571" s="25">
        <v>5820649</v>
      </c>
      <c r="O571" s="26">
        <v>80</v>
      </c>
      <c r="P571" t="s">
        <v>71</v>
      </c>
    </row>
    <row r="572" spans="1:16" ht="15" customHeight="1" x14ac:dyDescent="0.3">
      <c r="A572" t="s">
        <v>2871</v>
      </c>
      <c r="B572" t="s">
        <v>641</v>
      </c>
      <c r="C572" t="s">
        <v>99</v>
      </c>
      <c r="D572" t="s">
        <v>368</v>
      </c>
      <c r="E572" t="s">
        <v>263</v>
      </c>
      <c r="F572">
        <v>7.7</v>
      </c>
      <c r="G572">
        <v>90</v>
      </c>
      <c r="H572" t="s">
        <v>701</v>
      </c>
      <c r="I572" t="s">
        <v>2872</v>
      </c>
      <c r="J572" t="s">
        <v>2873</v>
      </c>
      <c r="K572" t="s">
        <v>2874</v>
      </c>
      <c r="L572" t="s">
        <v>2875</v>
      </c>
      <c r="M572">
        <v>59635</v>
      </c>
      <c r="N572" s="25">
        <v>10600000</v>
      </c>
      <c r="O572" s="26">
        <v>97</v>
      </c>
      <c r="P572" t="s">
        <v>135</v>
      </c>
    </row>
    <row r="573" spans="1:16" ht="15" customHeight="1" x14ac:dyDescent="0.3">
      <c r="A573" t="s">
        <v>2876</v>
      </c>
      <c r="B573" t="s">
        <v>294</v>
      </c>
      <c r="C573" t="s">
        <v>146</v>
      </c>
      <c r="D573" t="s">
        <v>924</v>
      </c>
      <c r="E573" t="s">
        <v>166</v>
      </c>
      <c r="F573">
        <v>7.9</v>
      </c>
      <c r="G573">
        <v>90</v>
      </c>
      <c r="H573" t="s">
        <v>2877</v>
      </c>
      <c r="I573" t="s">
        <v>2547</v>
      </c>
      <c r="J573" t="s">
        <v>2878</v>
      </c>
      <c r="K573" t="s">
        <v>2879</v>
      </c>
      <c r="L573" t="s">
        <v>2880</v>
      </c>
      <c r="M573">
        <v>93560</v>
      </c>
      <c r="N573" s="25">
        <v>2084637</v>
      </c>
      <c r="O573" s="26">
        <v>155</v>
      </c>
      <c r="P573" t="s">
        <v>172</v>
      </c>
    </row>
    <row r="574" spans="1:16" ht="15" customHeight="1" x14ac:dyDescent="0.3">
      <c r="A574" t="s">
        <v>2881</v>
      </c>
      <c r="B574" t="s">
        <v>753</v>
      </c>
      <c r="C574" t="s">
        <v>78</v>
      </c>
      <c r="D574" t="s">
        <v>117</v>
      </c>
      <c r="E574" t="s">
        <v>2882</v>
      </c>
      <c r="F574">
        <v>7.6</v>
      </c>
      <c r="G574">
        <v>90</v>
      </c>
      <c r="H574" t="s">
        <v>2833</v>
      </c>
      <c r="I574" t="s">
        <v>2883</v>
      </c>
      <c r="J574" t="s">
        <v>2884</v>
      </c>
      <c r="K574" t="s">
        <v>2885</v>
      </c>
      <c r="L574" t="s">
        <v>2886</v>
      </c>
      <c r="M574">
        <v>27071</v>
      </c>
      <c r="N574" s="25">
        <v>453243</v>
      </c>
      <c r="O574" s="26">
        <v>118</v>
      </c>
      <c r="P574" t="s">
        <v>572</v>
      </c>
    </row>
    <row r="575" spans="1:16" ht="15" customHeight="1" x14ac:dyDescent="0.3">
      <c r="A575" t="s">
        <v>2887</v>
      </c>
      <c r="B575" t="s">
        <v>77</v>
      </c>
      <c r="C575" t="s">
        <v>78</v>
      </c>
      <c r="D575" t="s">
        <v>89</v>
      </c>
      <c r="E575" t="s">
        <v>1549</v>
      </c>
      <c r="F575">
        <v>8</v>
      </c>
      <c r="G575">
        <v>90</v>
      </c>
      <c r="H575" t="s">
        <v>2137</v>
      </c>
      <c r="I575" t="s">
        <v>2138</v>
      </c>
      <c r="J575" t="s">
        <v>468</v>
      </c>
      <c r="K575" t="s">
        <v>2139</v>
      </c>
      <c r="L575" t="s">
        <v>2888</v>
      </c>
      <c r="M575">
        <v>657047</v>
      </c>
      <c r="N575" s="25">
        <v>261441092</v>
      </c>
      <c r="O575" s="26">
        <v>115</v>
      </c>
      <c r="P575" t="s">
        <v>572</v>
      </c>
    </row>
    <row r="576" spans="1:16" ht="15" customHeight="1" x14ac:dyDescent="0.3">
      <c r="A576" t="s">
        <v>2889</v>
      </c>
      <c r="B576" t="s">
        <v>1527</v>
      </c>
      <c r="C576" t="s">
        <v>146</v>
      </c>
      <c r="D576" t="s">
        <v>1519</v>
      </c>
      <c r="E576" t="s">
        <v>166</v>
      </c>
      <c r="F576">
        <v>9</v>
      </c>
      <c r="G576">
        <v>90</v>
      </c>
      <c r="H576" t="s">
        <v>533</v>
      </c>
      <c r="I576" t="s">
        <v>505</v>
      </c>
      <c r="J576" t="s">
        <v>225</v>
      </c>
      <c r="K576" t="s">
        <v>385</v>
      </c>
      <c r="L576" t="s">
        <v>534</v>
      </c>
      <c r="M576">
        <v>1129952</v>
      </c>
      <c r="N576" s="25">
        <v>57300000</v>
      </c>
      <c r="O576" s="26">
        <v>202</v>
      </c>
      <c r="P576" t="s">
        <v>172</v>
      </c>
    </row>
    <row r="577" spans="1:16" ht="15" customHeight="1" x14ac:dyDescent="0.3">
      <c r="A577" t="s">
        <v>2890</v>
      </c>
      <c r="B577" t="s">
        <v>329</v>
      </c>
      <c r="C577" t="s">
        <v>69</v>
      </c>
      <c r="D577" t="s">
        <v>147</v>
      </c>
      <c r="E577" t="s">
        <v>905</v>
      </c>
      <c r="F577">
        <v>7.9</v>
      </c>
      <c r="G577">
        <v>90</v>
      </c>
      <c r="H577" t="s">
        <v>1705</v>
      </c>
      <c r="I577" t="s">
        <v>1706</v>
      </c>
      <c r="J577" t="s">
        <v>75</v>
      </c>
      <c r="K577" t="s">
        <v>551</v>
      </c>
      <c r="L577" t="s">
        <v>386</v>
      </c>
      <c r="M577">
        <v>67176</v>
      </c>
      <c r="N577" s="25">
        <v>40084041</v>
      </c>
      <c r="O577" s="26">
        <v>107</v>
      </c>
      <c r="P577" t="s">
        <v>135</v>
      </c>
    </row>
    <row r="578" spans="1:16" ht="15" customHeight="1" x14ac:dyDescent="0.3">
      <c r="A578" t="s">
        <v>2891</v>
      </c>
      <c r="B578" t="s">
        <v>951</v>
      </c>
      <c r="C578" t="s">
        <v>146</v>
      </c>
      <c r="D578" t="s">
        <v>1084</v>
      </c>
      <c r="E578" t="s">
        <v>820</v>
      </c>
      <c r="F578">
        <v>7.7</v>
      </c>
      <c r="G578">
        <v>90</v>
      </c>
      <c r="H578" t="s">
        <v>2892</v>
      </c>
      <c r="I578" t="s">
        <v>242</v>
      </c>
      <c r="J578" t="s">
        <v>2893</v>
      </c>
      <c r="K578" t="s">
        <v>2894</v>
      </c>
      <c r="L578" t="s">
        <v>2895</v>
      </c>
      <c r="M578">
        <v>143292</v>
      </c>
      <c r="N578" s="25">
        <v>35900000</v>
      </c>
      <c r="O578" s="26">
        <v>102</v>
      </c>
      <c r="P578" t="s">
        <v>96</v>
      </c>
    </row>
    <row r="579" spans="1:16" ht="15" customHeight="1" x14ac:dyDescent="0.3">
      <c r="A579" t="s">
        <v>2896</v>
      </c>
      <c r="B579" t="s">
        <v>198</v>
      </c>
      <c r="C579" t="s">
        <v>146</v>
      </c>
      <c r="D579" t="s">
        <v>490</v>
      </c>
      <c r="E579" t="s">
        <v>118</v>
      </c>
      <c r="F579">
        <v>7.9</v>
      </c>
      <c r="G579">
        <v>90</v>
      </c>
      <c r="H579" t="s">
        <v>2897</v>
      </c>
      <c r="I579" t="s">
        <v>431</v>
      </c>
      <c r="J579" t="s">
        <v>2898</v>
      </c>
      <c r="K579" t="s">
        <v>2899</v>
      </c>
      <c r="L579" t="s">
        <v>2339</v>
      </c>
      <c r="M579">
        <v>252586</v>
      </c>
      <c r="N579" s="25">
        <v>32534850</v>
      </c>
      <c r="O579" s="26">
        <v>122</v>
      </c>
      <c r="P579" t="s">
        <v>124</v>
      </c>
    </row>
    <row r="580" spans="1:16" ht="15" customHeight="1" x14ac:dyDescent="0.3">
      <c r="A580" t="s">
        <v>2900</v>
      </c>
      <c r="B580" t="s">
        <v>1001</v>
      </c>
      <c r="C580" t="s">
        <v>99</v>
      </c>
      <c r="D580" t="s">
        <v>524</v>
      </c>
      <c r="E580" t="s">
        <v>148</v>
      </c>
      <c r="F580">
        <v>8.1</v>
      </c>
      <c r="G580">
        <v>90</v>
      </c>
      <c r="H580" t="s">
        <v>1883</v>
      </c>
      <c r="I580" t="s">
        <v>1263</v>
      </c>
      <c r="J580" t="s">
        <v>2432</v>
      </c>
      <c r="K580" t="s">
        <v>2901</v>
      </c>
      <c r="L580" t="s">
        <v>2902</v>
      </c>
      <c r="M580">
        <v>882316</v>
      </c>
      <c r="N580" s="25">
        <v>154058340</v>
      </c>
      <c r="O580" s="26">
        <v>120</v>
      </c>
      <c r="P580" t="s">
        <v>96</v>
      </c>
    </row>
    <row r="581" spans="1:16" ht="15" customHeight="1" x14ac:dyDescent="0.3">
      <c r="A581" t="s">
        <v>2903</v>
      </c>
      <c r="B581" t="s">
        <v>2904</v>
      </c>
      <c r="C581" t="s">
        <v>78</v>
      </c>
      <c r="D581" t="s">
        <v>2905</v>
      </c>
      <c r="E581" t="s">
        <v>1894</v>
      </c>
      <c r="F581">
        <v>8.1</v>
      </c>
      <c r="G581">
        <v>90</v>
      </c>
      <c r="H581" t="s">
        <v>2906</v>
      </c>
      <c r="I581" t="s">
        <v>2023</v>
      </c>
      <c r="J581" t="s">
        <v>2662</v>
      </c>
      <c r="K581" t="s">
        <v>2907</v>
      </c>
      <c r="L581" t="s">
        <v>2908</v>
      </c>
      <c r="M581">
        <v>219466</v>
      </c>
      <c r="N581" s="25">
        <v>74700000</v>
      </c>
      <c r="O581" s="26">
        <v>212</v>
      </c>
      <c r="P581" t="s">
        <v>124</v>
      </c>
    </row>
    <row r="582" spans="1:16" ht="15" customHeight="1" x14ac:dyDescent="0.3">
      <c r="A582" t="s">
        <v>2909</v>
      </c>
      <c r="B582" t="s">
        <v>1344</v>
      </c>
      <c r="C582" t="s">
        <v>146</v>
      </c>
      <c r="D582" t="s">
        <v>879</v>
      </c>
      <c r="E582" t="s">
        <v>1107</v>
      </c>
      <c r="F582">
        <v>8.8000000000000007</v>
      </c>
      <c r="G582">
        <v>90</v>
      </c>
      <c r="H582" t="s">
        <v>1910</v>
      </c>
      <c r="I582" t="s">
        <v>242</v>
      </c>
      <c r="J582" t="s">
        <v>1601</v>
      </c>
      <c r="K582" t="s">
        <v>2910</v>
      </c>
      <c r="L582" t="s">
        <v>2911</v>
      </c>
      <c r="M582">
        <v>688390</v>
      </c>
      <c r="N582" s="25">
        <v>6100000</v>
      </c>
      <c r="O582" s="26">
        <v>161</v>
      </c>
      <c r="P582" t="s">
        <v>1107</v>
      </c>
    </row>
    <row r="583" spans="1:16" ht="15" customHeight="1" x14ac:dyDescent="0.3">
      <c r="A583" t="s">
        <v>2912</v>
      </c>
      <c r="B583" t="s">
        <v>532</v>
      </c>
      <c r="C583" t="s">
        <v>146</v>
      </c>
      <c r="D583" t="s">
        <v>174</v>
      </c>
      <c r="E583" t="s">
        <v>280</v>
      </c>
      <c r="F583">
        <v>8.6999999999999993</v>
      </c>
      <c r="G583">
        <v>90</v>
      </c>
      <c r="H583" t="s">
        <v>701</v>
      </c>
      <c r="I583" t="s">
        <v>225</v>
      </c>
      <c r="J583" t="s">
        <v>2913</v>
      </c>
      <c r="K583" t="s">
        <v>677</v>
      </c>
      <c r="L583" t="s">
        <v>2914</v>
      </c>
      <c r="M583">
        <v>1020727</v>
      </c>
      <c r="N583" s="25">
        <v>46836394</v>
      </c>
      <c r="O583" s="26">
        <v>146</v>
      </c>
      <c r="P583" t="s">
        <v>204</v>
      </c>
    </row>
    <row r="584" spans="1:16" ht="15" customHeight="1" x14ac:dyDescent="0.3">
      <c r="A584" t="s">
        <v>2915</v>
      </c>
      <c r="B584" t="s">
        <v>574</v>
      </c>
      <c r="C584" t="s">
        <v>88</v>
      </c>
      <c r="D584" t="s">
        <v>79</v>
      </c>
      <c r="E584" t="s">
        <v>335</v>
      </c>
      <c r="F584">
        <v>7.7</v>
      </c>
      <c r="G584">
        <v>90</v>
      </c>
      <c r="H584" t="s">
        <v>2858</v>
      </c>
      <c r="I584" t="s">
        <v>2916</v>
      </c>
      <c r="J584" t="s">
        <v>2503</v>
      </c>
      <c r="K584" t="s">
        <v>934</v>
      </c>
      <c r="L584" t="s">
        <v>608</v>
      </c>
      <c r="M584">
        <v>312542</v>
      </c>
      <c r="N584" s="25">
        <v>22858926</v>
      </c>
      <c r="O584" s="26">
        <v>113</v>
      </c>
      <c r="P584" t="s">
        <v>135</v>
      </c>
    </row>
    <row r="585" spans="1:16" ht="15" customHeight="1" x14ac:dyDescent="0.3">
      <c r="A585" t="s">
        <v>2917</v>
      </c>
      <c r="B585" t="s">
        <v>2918</v>
      </c>
      <c r="C585" t="s">
        <v>1542</v>
      </c>
      <c r="D585" t="s">
        <v>839</v>
      </c>
      <c r="E585" t="s">
        <v>2919</v>
      </c>
      <c r="F585">
        <v>7.9</v>
      </c>
      <c r="G585">
        <v>90</v>
      </c>
      <c r="H585" t="s">
        <v>2920</v>
      </c>
      <c r="I585" t="s">
        <v>2921</v>
      </c>
      <c r="J585" t="s">
        <v>2922</v>
      </c>
      <c r="K585" t="s">
        <v>2923</v>
      </c>
      <c r="L585" t="s">
        <v>2924</v>
      </c>
      <c r="M585">
        <v>78991</v>
      </c>
      <c r="N585" s="25">
        <v>10000000</v>
      </c>
      <c r="O585" s="26">
        <v>100</v>
      </c>
      <c r="P585" t="s">
        <v>124</v>
      </c>
    </row>
    <row r="586" spans="1:16" ht="15" customHeight="1" x14ac:dyDescent="0.3">
      <c r="A586" t="s">
        <v>2925</v>
      </c>
      <c r="B586" t="s">
        <v>87</v>
      </c>
      <c r="C586" t="s">
        <v>88</v>
      </c>
      <c r="D586" t="s">
        <v>490</v>
      </c>
      <c r="E586" t="s">
        <v>223</v>
      </c>
      <c r="F586">
        <v>8.1</v>
      </c>
      <c r="G586">
        <v>91</v>
      </c>
      <c r="H586" t="s">
        <v>875</v>
      </c>
      <c r="I586" t="s">
        <v>874</v>
      </c>
      <c r="J586" t="s">
        <v>2711</v>
      </c>
      <c r="K586" t="s">
        <v>1571</v>
      </c>
      <c r="L586" t="s">
        <v>646</v>
      </c>
      <c r="M586">
        <v>856916</v>
      </c>
      <c r="N586" s="25">
        <v>74283625</v>
      </c>
      <c r="O586" s="26">
        <v>122</v>
      </c>
      <c r="P586" t="s">
        <v>172</v>
      </c>
    </row>
    <row r="587" spans="1:16" ht="15" customHeight="1" x14ac:dyDescent="0.3">
      <c r="A587" t="s">
        <v>2926</v>
      </c>
      <c r="B587" t="s">
        <v>237</v>
      </c>
      <c r="C587" t="s">
        <v>78</v>
      </c>
      <c r="D587" t="s">
        <v>687</v>
      </c>
      <c r="E587" t="s">
        <v>2927</v>
      </c>
      <c r="F587">
        <v>7.9</v>
      </c>
      <c r="G587">
        <v>91</v>
      </c>
      <c r="H587" t="s">
        <v>459</v>
      </c>
      <c r="I587" t="s">
        <v>2928</v>
      </c>
      <c r="J587" t="s">
        <v>2929</v>
      </c>
      <c r="K587" t="s">
        <v>2930</v>
      </c>
      <c r="L587" t="s">
        <v>2931</v>
      </c>
      <c r="M587">
        <v>93741</v>
      </c>
      <c r="N587" s="25">
        <v>61700000</v>
      </c>
      <c r="O587" s="26">
        <v>172</v>
      </c>
      <c r="P587" t="s">
        <v>204</v>
      </c>
    </row>
    <row r="588" spans="1:16" ht="15" customHeight="1" x14ac:dyDescent="0.3">
      <c r="A588" t="s">
        <v>2932</v>
      </c>
      <c r="B588" t="s">
        <v>180</v>
      </c>
      <c r="C588" t="s">
        <v>78</v>
      </c>
      <c r="D588" t="s">
        <v>89</v>
      </c>
      <c r="E588" t="s">
        <v>2933</v>
      </c>
      <c r="F588">
        <v>7.8</v>
      </c>
      <c r="G588">
        <v>91</v>
      </c>
      <c r="H588" t="s">
        <v>607</v>
      </c>
      <c r="I588" t="s">
        <v>2934</v>
      </c>
      <c r="J588" t="s">
        <v>2935</v>
      </c>
      <c r="K588" t="s">
        <v>2936</v>
      </c>
      <c r="L588" t="s">
        <v>2937</v>
      </c>
      <c r="M588">
        <v>372490</v>
      </c>
      <c r="N588" s="25">
        <v>435110554</v>
      </c>
      <c r="O588" s="26">
        <v>115</v>
      </c>
      <c r="P588" t="s">
        <v>993</v>
      </c>
    </row>
    <row r="589" spans="1:16" ht="15" customHeight="1" x14ac:dyDescent="0.3">
      <c r="A589" t="s">
        <v>2938</v>
      </c>
      <c r="B589" t="s">
        <v>2939</v>
      </c>
      <c r="C589" t="s">
        <v>78</v>
      </c>
      <c r="D589" t="s">
        <v>738</v>
      </c>
      <c r="E589" t="s">
        <v>1793</v>
      </c>
      <c r="F589">
        <v>8</v>
      </c>
      <c r="G589">
        <v>91</v>
      </c>
      <c r="H589" t="s">
        <v>2940</v>
      </c>
      <c r="I589" t="s">
        <v>2941</v>
      </c>
      <c r="J589" t="s">
        <v>2942</v>
      </c>
      <c r="K589" t="s">
        <v>2943</v>
      </c>
      <c r="L589" t="s">
        <v>2944</v>
      </c>
      <c r="M589">
        <v>57318</v>
      </c>
      <c r="N589" s="25">
        <v>3270000</v>
      </c>
      <c r="O589" s="26">
        <v>152</v>
      </c>
      <c r="P589" t="s">
        <v>71</v>
      </c>
    </row>
    <row r="590" spans="1:16" ht="15" customHeight="1" x14ac:dyDescent="0.3">
      <c r="A590" t="s">
        <v>2945</v>
      </c>
      <c r="B590" t="s">
        <v>2419</v>
      </c>
      <c r="C590" t="s">
        <v>127</v>
      </c>
      <c r="D590" t="s">
        <v>2695</v>
      </c>
      <c r="E590" t="s">
        <v>1454</v>
      </c>
      <c r="F590">
        <v>8.1999999999999993</v>
      </c>
      <c r="G590">
        <v>91</v>
      </c>
      <c r="H590" t="s">
        <v>119</v>
      </c>
      <c r="I590" t="s">
        <v>1877</v>
      </c>
      <c r="J590" t="s">
        <v>1878</v>
      </c>
      <c r="K590" t="s">
        <v>1879</v>
      </c>
      <c r="L590" t="s">
        <v>2946</v>
      </c>
      <c r="M590">
        <v>500875</v>
      </c>
      <c r="N590" s="25">
        <v>1229197</v>
      </c>
      <c r="O590" s="26">
        <v>91</v>
      </c>
      <c r="P590" t="s">
        <v>124</v>
      </c>
    </row>
    <row r="591" spans="1:16" ht="15" customHeight="1" x14ac:dyDescent="0.3">
      <c r="A591" t="s">
        <v>2947</v>
      </c>
      <c r="B591" t="s">
        <v>137</v>
      </c>
      <c r="C591" t="s">
        <v>69</v>
      </c>
      <c r="D591" t="s">
        <v>1534</v>
      </c>
      <c r="E591" t="s">
        <v>2948</v>
      </c>
      <c r="F591">
        <v>7.8</v>
      </c>
      <c r="G591">
        <v>91</v>
      </c>
      <c r="H591" t="s">
        <v>2949</v>
      </c>
      <c r="I591" t="s">
        <v>2950</v>
      </c>
      <c r="J591" t="s">
        <v>2951</v>
      </c>
      <c r="K591" t="s">
        <v>2952</v>
      </c>
      <c r="L591" t="s">
        <v>2953</v>
      </c>
      <c r="M591">
        <v>50622</v>
      </c>
      <c r="N591" s="25">
        <v>7002255</v>
      </c>
      <c r="O591" s="26">
        <v>80</v>
      </c>
      <c r="P591" t="s">
        <v>572</v>
      </c>
    </row>
    <row r="592" spans="1:16" ht="15" customHeight="1" x14ac:dyDescent="0.3">
      <c r="A592" t="s">
        <v>2954</v>
      </c>
      <c r="B592" t="s">
        <v>449</v>
      </c>
      <c r="C592" t="s">
        <v>127</v>
      </c>
      <c r="D592" t="s">
        <v>2955</v>
      </c>
      <c r="E592" t="s">
        <v>1436</v>
      </c>
      <c r="F592">
        <v>7.8</v>
      </c>
      <c r="G592">
        <v>91</v>
      </c>
      <c r="H592" t="s">
        <v>2956</v>
      </c>
      <c r="I592" t="s">
        <v>2957</v>
      </c>
      <c r="J592" t="s">
        <v>1098</v>
      </c>
      <c r="K592" t="s">
        <v>311</v>
      </c>
      <c r="L592" t="s">
        <v>2958</v>
      </c>
      <c r="M592">
        <v>56235</v>
      </c>
      <c r="N592" s="25">
        <v>21500000</v>
      </c>
      <c r="O592" s="26">
        <v>193</v>
      </c>
      <c r="P592" t="s">
        <v>124</v>
      </c>
    </row>
    <row r="593" spans="1:16" ht="15" customHeight="1" x14ac:dyDescent="0.3">
      <c r="A593" t="s">
        <v>2959</v>
      </c>
      <c r="B593" t="s">
        <v>1697</v>
      </c>
      <c r="C593" t="s">
        <v>146</v>
      </c>
      <c r="D593" t="s">
        <v>418</v>
      </c>
      <c r="E593" t="s">
        <v>223</v>
      </c>
      <c r="F593">
        <v>8.1</v>
      </c>
      <c r="G593">
        <v>91</v>
      </c>
      <c r="H593" t="s">
        <v>2960</v>
      </c>
      <c r="I593" t="s">
        <v>2961</v>
      </c>
      <c r="J593" t="s">
        <v>2929</v>
      </c>
      <c r="K593" t="s">
        <v>2251</v>
      </c>
      <c r="L593" t="s">
        <v>1142</v>
      </c>
      <c r="M593">
        <v>142107</v>
      </c>
      <c r="N593" s="25">
        <v>9600000</v>
      </c>
      <c r="O593" s="26">
        <v>108</v>
      </c>
      <c r="P593" t="s">
        <v>172</v>
      </c>
    </row>
    <row r="594" spans="1:16" ht="15" customHeight="1" x14ac:dyDescent="0.3">
      <c r="A594" t="s">
        <v>2962</v>
      </c>
      <c r="B594" t="s">
        <v>189</v>
      </c>
      <c r="C594" t="s">
        <v>78</v>
      </c>
      <c r="D594" t="s">
        <v>960</v>
      </c>
      <c r="E594" t="s">
        <v>905</v>
      </c>
      <c r="F594">
        <v>8</v>
      </c>
      <c r="G594">
        <v>91</v>
      </c>
      <c r="H594" t="s">
        <v>2963</v>
      </c>
      <c r="I594" t="s">
        <v>2964</v>
      </c>
      <c r="J594" t="s">
        <v>2275</v>
      </c>
      <c r="K594" t="s">
        <v>2965</v>
      </c>
      <c r="L594" t="s">
        <v>2966</v>
      </c>
      <c r="M594">
        <v>37564</v>
      </c>
      <c r="N594" s="25">
        <v>13417292</v>
      </c>
      <c r="O594" s="26">
        <v>136</v>
      </c>
      <c r="P594" t="s">
        <v>135</v>
      </c>
    </row>
    <row r="595" spans="1:16" ht="15" customHeight="1" x14ac:dyDescent="0.3">
      <c r="A595" t="s">
        <v>2967</v>
      </c>
      <c r="B595" t="s">
        <v>471</v>
      </c>
      <c r="C595" t="s">
        <v>78</v>
      </c>
      <c r="D595" t="s">
        <v>1062</v>
      </c>
      <c r="E595" t="s">
        <v>301</v>
      </c>
      <c r="F595">
        <v>7.8</v>
      </c>
      <c r="G595">
        <v>91</v>
      </c>
      <c r="H595" t="s">
        <v>2968</v>
      </c>
      <c r="I595" t="s">
        <v>2529</v>
      </c>
      <c r="J595" t="s">
        <v>795</v>
      </c>
      <c r="K595" t="s">
        <v>2969</v>
      </c>
      <c r="L595" t="s">
        <v>2970</v>
      </c>
      <c r="M595">
        <v>143250</v>
      </c>
      <c r="N595" s="25">
        <v>108101214</v>
      </c>
      <c r="O595" s="26">
        <v>135</v>
      </c>
      <c r="P595" t="s">
        <v>71</v>
      </c>
    </row>
    <row r="596" spans="1:16" ht="15" customHeight="1" x14ac:dyDescent="0.3">
      <c r="A596" t="s">
        <v>2971</v>
      </c>
      <c r="B596" t="s">
        <v>1371</v>
      </c>
      <c r="C596" t="s">
        <v>127</v>
      </c>
      <c r="D596" t="s">
        <v>1269</v>
      </c>
      <c r="E596" t="s">
        <v>1468</v>
      </c>
      <c r="F596">
        <v>7.7</v>
      </c>
      <c r="G596">
        <v>91</v>
      </c>
      <c r="H596" t="s">
        <v>2972</v>
      </c>
      <c r="I596" t="s">
        <v>2973</v>
      </c>
      <c r="J596" t="s">
        <v>1068</v>
      </c>
      <c r="K596" t="s">
        <v>2974</v>
      </c>
      <c r="L596" t="s">
        <v>2975</v>
      </c>
      <c r="M596">
        <v>71481</v>
      </c>
      <c r="N596" s="25">
        <v>536118</v>
      </c>
      <c r="O596" s="26">
        <v>105</v>
      </c>
      <c r="P596" t="s">
        <v>124</v>
      </c>
    </row>
    <row r="597" spans="1:16" ht="15" customHeight="1" x14ac:dyDescent="0.3">
      <c r="A597" t="s">
        <v>2976</v>
      </c>
      <c r="B597" t="s">
        <v>116</v>
      </c>
      <c r="C597" t="s">
        <v>88</v>
      </c>
      <c r="D597" t="s">
        <v>435</v>
      </c>
      <c r="E597" t="s">
        <v>1793</v>
      </c>
      <c r="F597">
        <v>8.6</v>
      </c>
      <c r="G597">
        <v>91</v>
      </c>
      <c r="H597" t="s">
        <v>607</v>
      </c>
      <c r="I597" t="s">
        <v>578</v>
      </c>
      <c r="J597" t="s">
        <v>997</v>
      </c>
      <c r="K597" t="s">
        <v>1632</v>
      </c>
      <c r="L597" t="s">
        <v>2977</v>
      </c>
      <c r="M597">
        <v>1235804</v>
      </c>
      <c r="N597" s="25">
        <v>216540909</v>
      </c>
      <c r="O597" s="26">
        <v>169</v>
      </c>
      <c r="P597" t="s">
        <v>71</v>
      </c>
    </row>
    <row r="598" spans="1:16" ht="15" customHeight="1" x14ac:dyDescent="0.3">
      <c r="A598" t="s">
        <v>2978</v>
      </c>
      <c r="B598" t="s">
        <v>510</v>
      </c>
      <c r="C598" t="s">
        <v>146</v>
      </c>
      <c r="D598" t="s">
        <v>1144</v>
      </c>
      <c r="E598" t="s">
        <v>71</v>
      </c>
      <c r="F598">
        <v>7.6</v>
      </c>
      <c r="G598">
        <v>92</v>
      </c>
      <c r="H598" t="s">
        <v>2979</v>
      </c>
      <c r="I598" t="s">
        <v>2980</v>
      </c>
      <c r="J598" t="s">
        <v>2981</v>
      </c>
      <c r="K598" t="s">
        <v>2982</v>
      </c>
      <c r="L598" t="s">
        <v>2983</v>
      </c>
      <c r="M598">
        <v>95181</v>
      </c>
      <c r="N598" s="25">
        <v>5904366</v>
      </c>
      <c r="O598" s="26">
        <v>111</v>
      </c>
      <c r="P598" t="s">
        <v>71</v>
      </c>
    </row>
    <row r="599" spans="1:16" ht="15" customHeight="1" x14ac:dyDescent="0.3">
      <c r="A599" t="s">
        <v>2984</v>
      </c>
      <c r="B599" t="s">
        <v>87</v>
      </c>
      <c r="C599" t="s">
        <v>69</v>
      </c>
      <c r="D599" t="s">
        <v>402</v>
      </c>
      <c r="E599" t="s">
        <v>713</v>
      </c>
      <c r="F599">
        <v>8</v>
      </c>
      <c r="G599">
        <v>92</v>
      </c>
      <c r="H599" t="s">
        <v>2985</v>
      </c>
      <c r="I599" t="s">
        <v>1969</v>
      </c>
      <c r="J599" t="s">
        <v>2743</v>
      </c>
      <c r="K599" t="s">
        <v>899</v>
      </c>
      <c r="L599" t="s">
        <v>2986</v>
      </c>
      <c r="M599">
        <v>103284</v>
      </c>
      <c r="N599" s="25">
        <v>5990075</v>
      </c>
      <c r="O599" s="26">
        <v>112</v>
      </c>
      <c r="P599" t="s">
        <v>204</v>
      </c>
    </row>
    <row r="600" spans="1:16" ht="15" customHeight="1" x14ac:dyDescent="0.3">
      <c r="A600" t="s">
        <v>2987</v>
      </c>
      <c r="B600" t="s">
        <v>126</v>
      </c>
      <c r="C600" t="s">
        <v>78</v>
      </c>
      <c r="D600" t="s">
        <v>155</v>
      </c>
      <c r="E600" t="s">
        <v>1241</v>
      </c>
      <c r="F600">
        <v>8.1999999999999993</v>
      </c>
      <c r="G600">
        <v>92</v>
      </c>
      <c r="H600" t="s">
        <v>2053</v>
      </c>
      <c r="I600" t="s">
        <v>578</v>
      </c>
      <c r="J600" t="s">
        <v>2452</v>
      </c>
      <c r="K600" t="s">
        <v>2988</v>
      </c>
      <c r="L600" t="s">
        <v>2198</v>
      </c>
      <c r="M600">
        <v>757032</v>
      </c>
      <c r="N600" s="25">
        <v>415004880</v>
      </c>
      <c r="O600" s="26">
        <v>103</v>
      </c>
      <c r="P600" t="s">
        <v>572</v>
      </c>
    </row>
    <row r="601" spans="1:16" ht="15" customHeight="1" x14ac:dyDescent="0.3">
      <c r="A601" t="s">
        <v>2989</v>
      </c>
      <c r="B601" t="s">
        <v>1268</v>
      </c>
      <c r="C601" t="s">
        <v>88</v>
      </c>
      <c r="D601" t="s">
        <v>1704</v>
      </c>
      <c r="E601" t="s">
        <v>2990</v>
      </c>
      <c r="F601">
        <v>7.9</v>
      </c>
      <c r="G601">
        <v>92</v>
      </c>
      <c r="H601" t="s">
        <v>130</v>
      </c>
      <c r="I601" t="s">
        <v>130</v>
      </c>
      <c r="J601" t="s">
        <v>1305</v>
      </c>
      <c r="K601" t="s">
        <v>2991</v>
      </c>
      <c r="L601" t="s">
        <v>2992</v>
      </c>
      <c r="M601">
        <v>128812</v>
      </c>
      <c r="N601" s="25">
        <v>188751</v>
      </c>
      <c r="O601" s="26">
        <v>82</v>
      </c>
      <c r="P601" t="s">
        <v>135</v>
      </c>
    </row>
    <row r="602" spans="1:16" ht="15" customHeight="1" x14ac:dyDescent="0.3">
      <c r="A602" t="s">
        <v>2993</v>
      </c>
      <c r="B602" t="s">
        <v>329</v>
      </c>
      <c r="C602" t="s">
        <v>146</v>
      </c>
      <c r="D602" t="s">
        <v>524</v>
      </c>
      <c r="E602" t="s">
        <v>1793</v>
      </c>
      <c r="F602">
        <v>8.1</v>
      </c>
      <c r="G602">
        <v>92</v>
      </c>
      <c r="H602" t="s">
        <v>1396</v>
      </c>
      <c r="I602" t="s">
        <v>2994</v>
      </c>
      <c r="J602" t="s">
        <v>1099</v>
      </c>
      <c r="K602" t="s">
        <v>2982</v>
      </c>
      <c r="L602" t="s">
        <v>414</v>
      </c>
      <c r="M602">
        <v>381222</v>
      </c>
      <c r="N602" s="25">
        <v>138530565</v>
      </c>
      <c r="O602" s="26">
        <v>120</v>
      </c>
      <c r="P602" t="s">
        <v>71</v>
      </c>
    </row>
    <row r="603" spans="1:16" ht="15" customHeight="1" x14ac:dyDescent="0.3">
      <c r="A603" t="s">
        <v>2995</v>
      </c>
      <c r="B603" t="s">
        <v>68</v>
      </c>
      <c r="C603" t="s">
        <v>78</v>
      </c>
      <c r="D603" t="s">
        <v>517</v>
      </c>
      <c r="E603" t="s">
        <v>559</v>
      </c>
      <c r="F603">
        <v>8.8000000000000007</v>
      </c>
      <c r="G603">
        <v>92</v>
      </c>
      <c r="H603" t="s">
        <v>437</v>
      </c>
      <c r="I603" t="s">
        <v>2725</v>
      </c>
      <c r="J603" t="s">
        <v>439</v>
      </c>
      <c r="K603" t="s">
        <v>683</v>
      </c>
      <c r="L603" t="s">
        <v>2996</v>
      </c>
      <c r="M603">
        <v>1661481</v>
      </c>
      <c r="N603" s="25">
        <v>315544750</v>
      </c>
      <c r="O603" s="26">
        <v>178</v>
      </c>
      <c r="P603" t="s">
        <v>96</v>
      </c>
    </row>
    <row r="604" spans="1:16" ht="15" customHeight="1" x14ac:dyDescent="0.3">
      <c r="A604" t="s">
        <v>2997</v>
      </c>
      <c r="B604" t="s">
        <v>1541</v>
      </c>
      <c r="C604" t="s">
        <v>78</v>
      </c>
      <c r="D604" t="s">
        <v>1084</v>
      </c>
      <c r="E604" t="s">
        <v>739</v>
      </c>
      <c r="F604">
        <v>8</v>
      </c>
      <c r="G604">
        <v>92</v>
      </c>
      <c r="H604" t="s">
        <v>2998</v>
      </c>
      <c r="I604" t="s">
        <v>2999</v>
      </c>
      <c r="J604" t="s">
        <v>3000</v>
      </c>
      <c r="K604" t="s">
        <v>3001</v>
      </c>
      <c r="L604" t="s">
        <v>3002</v>
      </c>
      <c r="M604">
        <v>371379</v>
      </c>
      <c r="N604" s="25">
        <v>2076020</v>
      </c>
      <c r="O604" s="26">
        <v>102</v>
      </c>
      <c r="P604" t="s">
        <v>124</v>
      </c>
    </row>
    <row r="605" spans="1:16" ht="15" customHeight="1" x14ac:dyDescent="0.3">
      <c r="A605" t="s">
        <v>3003</v>
      </c>
      <c r="B605" t="s">
        <v>770</v>
      </c>
      <c r="C605" t="s">
        <v>146</v>
      </c>
      <c r="D605" t="s">
        <v>786</v>
      </c>
      <c r="E605" t="s">
        <v>166</v>
      </c>
      <c r="F605">
        <v>8.1</v>
      </c>
      <c r="G605">
        <v>92</v>
      </c>
      <c r="H605" t="s">
        <v>3004</v>
      </c>
      <c r="I605" t="s">
        <v>865</v>
      </c>
      <c r="J605" t="s">
        <v>3005</v>
      </c>
      <c r="K605" t="s">
        <v>868</v>
      </c>
      <c r="L605" t="s">
        <v>3006</v>
      </c>
      <c r="M605">
        <v>161984</v>
      </c>
      <c r="N605" s="25">
        <v>16217773</v>
      </c>
      <c r="O605" s="26">
        <v>127</v>
      </c>
      <c r="P605" t="s">
        <v>172</v>
      </c>
    </row>
    <row r="606" spans="1:16" ht="15" customHeight="1" x14ac:dyDescent="0.3">
      <c r="A606" t="s">
        <v>3007</v>
      </c>
      <c r="B606" t="s">
        <v>547</v>
      </c>
      <c r="C606" t="s">
        <v>88</v>
      </c>
      <c r="D606" t="s">
        <v>583</v>
      </c>
      <c r="E606" t="s">
        <v>166</v>
      </c>
      <c r="F606">
        <v>7.6</v>
      </c>
      <c r="G606">
        <v>92</v>
      </c>
      <c r="H606" t="s">
        <v>3008</v>
      </c>
      <c r="I606" t="s">
        <v>3009</v>
      </c>
      <c r="J606" t="s">
        <v>3010</v>
      </c>
      <c r="K606" t="s">
        <v>3011</v>
      </c>
      <c r="L606" t="s">
        <v>3012</v>
      </c>
      <c r="M606">
        <v>49397</v>
      </c>
      <c r="N606" s="25">
        <v>1092800</v>
      </c>
      <c r="O606" s="26">
        <v>140</v>
      </c>
      <c r="P606" t="s">
        <v>172</v>
      </c>
    </row>
    <row r="607" spans="1:16" ht="15" customHeight="1" x14ac:dyDescent="0.3">
      <c r="A607" t="s">
        <v>3013</v>
      </c>
      <c r="B607" t="s">
        <v>2860</v>
      </c>
      <c r="C607" t="s">
        <v>146</v>
      </c>
      <c r="D607" t="s">
        <v>138</v>
      </c>
      <c r="E607" t="s">
        <v>1119</v>
      </c>
      <c r="F607">
        <v>8</v>
      </c>
      <c r="G607">
        <v>92</v>
      </c>
      <c r="H607" t="s">
        <v>1705</v>
      </c>
      <c r="I607" t="s">
        <v>1705</v>
      </c>
      <c r="J607" t="s">
        <v>534</v>
      </c>
      <c r="K607" t="s">
        <v>3014</v>
      </c>
      <c r="L607" t="s">
        <v>3015</v>
      </c>
      <c r="M607">
        <v>251823</v>
      </c>
      <c r="N607" s="25">
        <v>39200000</v>
      </c>
      <c r="O607" s="26">
        <v>93</v>
      </c>
      <c r="P607" t="s">
        <v>135</v>
      </c>
    </row>
    <row r="608" spans="1:16" ht="15" customHeight="1" x14ac:dyDescent="0.3">
      <c r="A608" t="s">
        <v>3016</v>
      </c>
      <c r="B608" t="s">
        <v>87</v>
      </c>
      <c r="C608" t="s">
        <v>146</v>
      </c>
      <c r="D608" t="s">
        <v>1251</v>
      </c>
      <c r="E608" t="s">
        <v>71</v>
      </c>
      <c r="F608">
        <v>8.1999999999999993</v>
      </c>
      <c r="G608">
        <v>93</v>
      </c>
      <c r="H608" t="s">
        <v>1937</v>
      </c>
      <c r="I608" t="s">
        <v>1828</v>
      </c>
      <c r="J608" t="s">
        <v>3017</v>
      </c>
      <c r="K608" t="s">
        <v>948</v>
      </c>
      <c r="L608" t="s">
        <v>3018</v>
      </c>
      <c r="M608">
        <v>517359</v>
      </c>
      <c r="N608" s="25">
        <v>40222514</v>
      </c>
      <c r="O608" s="26">
        <v>158</v>
      </c>
      <c r="P608" t="s">
        <v>71</v>
      </c>
    </row>
    <row r="609" spans="1:16" ht="15" customHeight="1" x14ac:dyDescent="0.3">
      <c r="A609" t="s">
        <v>3019</v>
      </c>
      <c r="B609" t="s">
        <v>1001</v>
      </c>
      <c r="C609" t="s">
        <v>146</v>
      </c>
      <c r="D609" t="s">
        <v>190</v>
      </c>
      <c r="E609" t="s">
        <v>280</v>
      </c>
      <c r="F609">
        <v>8.1</v>
      </c>
      <c r="G609">
        <v>93</v>
      </c>
      <c r="H609" t="s">
        <v>2032</v>
      </c>
      <c r="I609" t="s">
        <v>704</v>
      </c>
      <c r="J609" t="s">
        <v>2701</v>
      </c>
      <c r="K609" t="s">
        <v>305</v>
      </c>
      <c r="L609" t="s">
        <v>1587</v>
      </c>
      <c r="M609">
        <v>420316</v>
      </c>
      <c r="N609" s="25">
        <v>45055776</v>
      </c>
      <c r="O609" s="26">
        <v>129</v>
      </c>
      <c r="P609" t="s">
        <v>204</v>
      </c>
    </row>
    <row r="610" spans="1:16" ht="15" customHeight="1" x14ac:dyDescent="0.3">
      <c r="A610" t="s">
        <v>3020</v>
      </c>
      <c r="B610" t="s">
        <v>510</v>
      </c>
      <c r="C610" t="s">
        <v>99</v>
      </c>
      <c r="D610" t="s">
        <v>70</v>
      </c>
      <c r="E610" t="s">
        <v>301</v>
      </c>
      <c r="F610">
        <v>7.9</v>
      </c>
      <c r="G610">
        <v>93</v>
      </c>
      <c r="H610" t="s">
        <v>3021</v>
      </c>
      <c r="I610" t="s">
        <v>3022</v>
      </c>
      <c r="J610" t="s">
        <v>3023</v>
      </c>
      <c r="K610" t="s">
        <v>2223</v>
      </c>
      <c r="L610" t="s">
        <v>3024</v>
      </c>
      <c r="M610">
        <v>212651</v>
      </c>
      <c r="N610" s="25">
        <v>18095701</v>
      </c>
      <c r="O610" s="26">
        <v>132</v>
      </c>
      <c r="P610" t="s">
        <v>71</v>
      </c>
    </row>
    <row r="611" spans="1:16" ht="15" customHeight="1" x14ac:dyDescent="0.3">
      <c r="A611" t="s">
        <v>3025</v>
      </c>
      <c r="B611" t="s">
        <v>417</v>
      </c>
      <c r="C611" t="s">
        <v>88</v>
      </c>
      <c r="D611" t="s">
        <v>524</v>
      </c>
      <c r="E611" t="s">
        <v>905</v>
      </c>
      <c r="F611">
        <v>8</v>
      </c>
      <c r="G611">
        <v>93</v>
      </c>
      <c r="H611" t="s">
        <v>1063</v>
      </c>
      <c r="I611" t="s">
        <v>751</v>
      </c>
      <c r="J611" t="s">
        <v>3026</v>
      </c>
      <c r="K611" t="s">
        <v>3027</v>
      </c>
      <c r="L611" t="s">
        <v>3028</v>
      </c>
      <c r="M611">
        <v>89429</v>
      </c>
      <c r="N611" s="25">
        <v>27545445</v>
      </c>
      <c r="O611" s="26">
        <v>120</v>
      </c>
      <c r="P611" t="s">
        <v>135</v>
      </c>
    </row>
    <row r="612" spans="1:16" ht="15" customHeight="1" x14ac:dyDescent="0.3">
      <c r="A612" t="s">
        <v>3029</v>
      </c>
      <c r="B612" t="s">
        <v>3030</v>
      </c>
      <c r="C612" t="s">
        <v>1372</v>
      </c>
      <c r="D612" t="s">
        <v>811</v>
      </c>
      <c r="E612" t="s">
        <v>1138</v>
      </c>
      <c r="F612">
        <v>8</v>
      </c>
      <c r="G612">
        <v>93</v>
      </c>
      <c r="H612" t="s">
        <v>2906</v>
      </c>
      <c r="I612" t="s">
        <v>3031</v>
      </c>
      <c r="J612" t="s">
        <v>3032</v>
      </c>
      <c r="K612" t="s">
        <v>3033</v>
      </c>
      <c r="L612" t="s">
        <v>3034</v>
      </c>
      <c r="M612">
        <v>57259</v>
      </c>
      <c r="N612" s="25">
        <v>23650000</v>
      </c>
      <c r="O612" s="26">
        <v>170</v>
      </c>
      <c r="P612" t="s">
        <v>71</v>
      </c>
    </row>
    <row r="613" spans="1:16" ht="15" customHeight="1" x14ac:dyDescent="0.3">
      <c r="A613" t="s">
        <v>3035</v>
      </c>
      <c r="B613" t="s">
        <v>206</v>
      </c>
      <c r="C613" t="s">
        <v>146</v>
      </c>
      <c r="D613" t="s">
        <v>484</v>
      </c>
      <c r="E613" t="s">
        <v>166</v>
      </c>
      <c r="F613">
        <v>7.9</v>
      </c>
      <c r="G613">
        <v>93</v>
      </c>
      <c r="H613" t="s">
        <v>3036</v>
      </c>
      <c r="I613" t="s">
        <v>3037</v>
      </c>
      <c r="J613" t="s">
        <v>3038</v>
      </c>
      <c r="K613" t="s">
        <v>3039</v>
      </c>
      <c r="L613" t="s">
        <v>3040</v>
      </c>
      <c r="M613">
        <v>62754</v>
      </c>
      <c r="N613" s="25">
        <v>3313513</v>
      </c>
      <c r="O613" s="26">
        <v>121</v>
      </c>
      <c r="P613" t="s">
        <v>172</v>
      </c>
    </row>
    <row r="614" spans="1:16" ht="15" customHeight="1" x14ac:dyDescent="0.3">
      <c r="A614" t="s">
        <v>3041</v>
      </c>
      <c r="B614" t="s">
        <v>2195</v>
      </c>
      <c r="C614" t="s">
        <v>127</v>
      </c>
      <c r="D614" t="s">
        <v>1084</v>
      </c>
      <c r="E614" t="s">
        <v>135</v>
      </c>
      <c r="F614">
        <v>7.9</v>
      </c>
      <c r="G614">
        <v>93</v>
      </c>
      <c r="H614" t="s">
        <v>3042</v>
      </c>
      <c r="I614" t="s">
        <v>3043</v>
      </c>
      <c r="J614" t="s">
        <v>3044</v>
      </c>
      <c r="K614" t="s">
        <v>3045</v>
      </c>
      <c r="L614" t="s">
        <v>3046</v>
      </c>
      <c r="M614">
        <v>38737</v>
      </c>
      <c r="N614" s="25">
        <v>198809</v>
      </c>
      <c r="O614" s="26">
        <v>102</v>
      </c>
      <c r="P614" t="s">
        <v>135</v>
      </c>
    </row>
    <row r="615" spans="1:16" ht="15" customHeight="1" x14ac:dyDescent="0.3">
      <c r="A615" t="s">
        <v>3047</v>
      </c>
      <c r="B615" t="s">
        <v>2904</v>
      </c>
      <c r="C615" t="s">
        <v>1542</v>
      </c>
      <c r="D615" t="s">
        <v>667</v>
      </c>
      <c r="E615" t="s">
        <v>3048</v>
      </c>
      <c r="F615">
        <v>8</v>
      </c>
      <c r="G615">
        <v>93</v>
      </c>
      <c r="H615" t="s">
        <v>3049</v>
      </c>
      <c r="I615" t="s">
        <v>3050</v>
      </c>
      <c r="J615" t="s">
        <v>3051</v>
      </c>
      <c r="K615" t="s">
        <v>3052</v>
      </c>
      <c r="L615" t="s">
        <v>3053</v>
      </c>
      <c r="M615">
        <v>56305</v>
      </c>
      <c r="N615" s="25">
        <v>12535000</v>
      </c>
      <c r="O615" s="26">
        <v>141</v>
      </c>
      <c r="P615" t="s">
        <v>96</v>
      </c>
    </row>
    <row r="616" spans="1:16" ht="15" customHeight="1" x14ac:dyDescent="0.3">
      <c r="A616" t="s">
        <v>3054</v>
      </c>
      <c r="B616" t="s">
        <v>1106</v>
      </c>
      <c r="C616" t="s">
        <v>146</v>
      </c>
      <c r="D616" t="s">
        <v>642</v>
      </c>
      <c r="E616" t="s">
        <v>166</v>
      </c>
      <c r="F616">
        <v>8.3000000000000007</v>
      </c>
      <c r="G616">
        <v>94</v>
      </c>
      <c r="H616" t="s">
        <v>701</v>
      </c>
      <c r="I616" t="s">
        <v>225</v>
      </c>
      <c r="J616" t="s">
        <v>1811</v>
      </c>
      <c r="K616" t="s">
        <v>3055</v>
      </c>
      <c r="L616" t="s">
        <v>2009</v>
      </c>
      <c r="M616">
        <v>724636</v>
      </c>
      <c r="N616" s="25">
        <v>28262574</v>
      </c>
      <c r="O616" s="26">
        <v>114</v>
      </c>
      <c r="P616" t="s">
        <v>172</v>
      </c>
    </row>
    <row r="617" spans="1:16" ht="15" customHeight="1" x14ac:dyDescent="0.3">
      <c r="A617" t="s">
        <v>3056</v>
      </c>
      <c r="B617" t="s">
        <v>818</v>
      </c>
      <c r="C617" t="s">
        <v>88</v>
      </c>
      <c r="D617" t="s">
        <v>222</v>
      </c>
      <c r="E617" t="s">
        <v>2156</v>
      </c>
      <c r="F617">
        <v>8.4</v>
      </c>
      <c r="G617">
        <v>94</v>
      </c>
      <c r="H617" t="s">
        <v>533</v>
      </c>
      <c r="I617" t="s">
        <v>1680</v>
      </c>
      <c r="J617" t="s">
        <v>2961</v>
      </c>
      <c r="K617" t="s">
        <v>385</v>
      </c>
      <c r="L617" t="s">
        <v>2572</v>
      </c>
      <c r="M617">
        <v>606398</v>
      </c>
      <c r="N617" s="25">
        <v>83471511</v>
      </c>
      <c r="O617" s="26">
        <v>147</v>
      </c>
      <c r="P617" t="s">
        <v>71</v>
      </c>
    </row>
    <row r="618" spans="1:16" ht="15" customHeight="1" x14ac:dyDescent="0.3">
      <c r="A618" t="s">
        <v>3057</v>
      </c>
      <c r="B618" t="s">
        <v>471</v>
      </c>
      <c r="C618" t="s">
        <v>88</v>
      </c>
      <c r="D618" t="s">
        <v>3058</v>
      </c>
      <c r="E618" t="s">
        <v>280</v>
      </c>
      <c r="F618">
        <v>7.9</v>
      </c>
      <c r="G618">
        <v>94</v>
      </c>
      <c r="H618" t="s">
        <v>701</v>
      </c>
      <c r="I618" t="s">
        <v>225</v>
      </c>
      <c r="J618" t="s">
        <v>505</v>
      </c>
      <c r="K618" t="s">
        <v>677</v>
      </c>
      <c r="L618" t="s">
        <v>2100</v>
      </c>
      <c r="M618">
        <v>324720</v>
      </c>
      <c r="N618" s="25">
        <v>7000000</v>
      </c>
      <c r="O618" s="26">
        <v>209</v>
      </c>
      <c r="P618" t="s">
        <v>204</v>
      </c>
    </row>
    <row r="619" spans="1:16" ht="15" customHeight="1" x14ac:dyDescent="0.3">
      <c r="A619" t="s">
        <v>3059</v>
      </c>
      <c r="B619" t="s">
        <v>107</v>
      </c>
      <c r="C619" t="s">
        <v>88</v>
      </c>
      <c r="D619" t="s">
        <v>410</v>
      </c>
      <c r="E619" t="s">
        <v>301</v>
      </c>
      <c r="F619">
        <v>7.9</v>
      </c>
      <c r="G619">
        <v>94</v>
      </c>
      <c r="H619" t="s">
        <v>1931</v>
      </c>
      <c r="I619" t="s">
        <v>630</v>
      </c>
      <c r="J619" t="s">
        <v>1932</v>
      </c>
      <c r="K619" t="s">
        <v>3060</v>
      </c>
      <c r="L619" t="s">
        <v>3061</v>
      </c>
      <c r="M619">
        <v>141457</v>
      </c>
      <c r="N619" s="25">
        <v>8114627</v>
      </c>
      <c r="O619" s="26">
        <v>109</v>
      </c>
      <c r="P619" t="s">
        <v>71</v>
      </c>
    </row>
    <row r="620" spans="1:16" ht="15" customHeight="1" x14ac:dyDescent="0.3">
      <c r="A620" t="s">
        <v>3062</v>
      </c>
      <c r="B620" t="s">
        <v>434</v>
      </c>
      <c r="C620" t="s">
        <v>99</v>
      </c>
      <c r="D620" t="s">
        <v>786</v>
      </c>
      <c r="E620" t="s">
        <v>301</v>
      </c>
      <c r="F620">
        <v>7.9</v>
      </c>
      <c r="G620">
        <v>94</v>
      </c>
      <c r="H620" t="s">
        <v>2288</v>
      </c>
      <c r="I620" t="s">
        <v>3063</v>
      </c>
      <c r="J620" t="s">
        <v>3064</v>
      </c>
      <c r="K620" t="s">
        <v>3065</v>
      </c>
      <c r="L620" t="s">
        <v>3066</v>
      </c>
      <c r="M620">
        <v>93090</v>
      </c>
      <c r="N620" s="25">
        <v>6739492</v>
      </c>
      <c r="O620" s="26">
        <v>127</v>
      </c>
      <c r="P620" t="s">
        <v>71</v>
      </c>
    </row>
    <row r="621" spans="1:16" ht="15" customHeight="1" x14ac:dyDescent="0.3">
      <c r="A621" t="s">
        <v>3067</v>
      </c>
      <c r="B621" t="s">
        <v>779</v>
      </c>
      <c r="C621" t="s">
        <v>146</v>
      </c>
      <c r="D621" t="s">
        <v>396</v>
      </c>
      <c r="E621" t="s">
        <v>2011</v>
      </c>
      <c r="F621">
        <v>8</v>
      </c>
      <c r="G621">
        <v>94</v>
      </c>
      <c r="H621" t="s">
        <v>2787</v>
      </c>
      <c r="I621" t="s">
        <v>306</v>
      </c>
      <c r="J621" t="s">
        <v>617</v>
      </c>
      <c r="K621" t="s">
        <v>3068</v>
      </c>
      <c r="L621" t="s">
        <v>2788</v>
      </c>
      <c r="M621">
        <v>505918</v>
      </c>
      <c r="N621" s="25">
        <v>151101803</v>
      </c>
      <c r="O621" s="26">
        <v>128</v>
      </c>
      <c r="P621" t="s">
        <v>135</v>
      </c>
    </row>
    <row r="622" spans="1:16" ht="15" customHeight="1" x14ac:dyDescent="0.3">
      <c r="A622" t="s">
        <v>3069</v>
      </c>
      <c r="B622" t="s">
        <v>510</v>
      </c>
      <c r="C622" t="s">
        <v>99</v>
      </c>
      <c r="D622" t="s">
        <v>745</v>
      </c>
      <c r="E622" t="s">
        <v>606</v>
      </c>
      <c r="F622">
        <v>7.8</v>
      </c>
      <c r="G622">
        <v>94</v>
      </c>
      <c r="H622" t="s">
        <v>847</v>
      </c>
      <c r="I622" t="s">
        <v>3070</v>
      </c>
      <c r="J622" t="s">
        <v>3071</v>
      </c>
      <c r="K622" t="s">
        <v>2217</v>
      </c>
      <c r="L622" t="s">
        <v>1263</v>
      </c>
      <c r="M622">
        <v>555092</v>
      </c>
      <c r="N622" s="25">
        <v>188373161</v>
      </c>
      <c r="O622" s="26">
        <v>106</v>
      </c>
      <c r="P622" t="s">
        <v>96</v>
      </c>
    </row>
    <row r="623" spans="1:16" ht="15" customHeight="1" x14ac:dyDescent="0.3">
      <c r="A623" t="s">
        <v>3072</v>
      </c>
      <c r="B623" t="s">
        <v>198</v>
      </c>
      <c r="C623" t="s">
        <v>99</v>
      </c>
      <c r="D623" t="s">
        <v>524</v>
      </c>
      <c r="E623" t="s">
        <v>450</v>
      </c>
      <c r="F623">
        <v>7.8</v>
      </c>
      <c r="G623">
        <v>94</v>
      </c>
      <c r="H623" t="s">
        <v>2065</v>
      </c>
      <c r="I623" t="s">
        <v>3073</v>
      </c>
      <c r="J623" t="s">
        <v>3074</v>
      </c>
      <c r="K623" t="s">
        <v>2559</v>
      </c>
      <c r="L623" t="s">
        <v>3075</v>
      </c>
      <c r="M623">
        <v>253228</v>
      </c>
      <c r="N623" s="25">
        <v>128078872</v>
      </c>
      <c r="O623" s="26">
        <v>120</v>
      </c>
      <c r="P623" t="s">
        <v>96</v>
      </c>
    </row>
    <row r="624" spans="1:16" ht="15" customHeight="1" x14ac:dyDescent="0.3">
      <c r="A624" t="s">
        <v>3076</v>
      </c>
      <c r="B624" t="s">
        <v>164</v>
      </c>
      <c r="C624" t="s">
        <v>146</v>
      </c>
      <c r="D624" t="s">
        <v>3077</v>
      </c>
      <c r="E624" t="s">
        <v>1057</v>
      </c>
      <c r="F624">
        <v>8.9</v>
      </c>
      <c r="G624">
        <v>94</v>
      </c>
      <c r="H624" t="s">
        <v>607</v>
      </c>
      <c r="I624" t="s">
        <v>256</v>
      </c>
      <c r="J624" t="s">
        <v>2434</v>
      </c>
      <c r="K624" t="s">
        <v>318</v>
      </c>
      <c r="L624" t="s">
        <v>3078</v>
      </c>
      <c r="M624">
        <v>1213505</v>
      </c>
      <c r="N624" s="25">
        <v>96898818</v>
      </c>
      <c r="O624" s="26">
        <v>195</v>
      </c>
      <c r="P624" t="s">
        <v>204</v>
      </c>
    </row>
    <row r="625" spans="1:16" ht="15" customHeight="1" x14ac:dyDescent="0.3">
      <c r="A625" t="s">
        <v>3079</v>
      </c>
      <c r="B625" t="s">
        <v>749</v>
      </c>
      <c r="C625" t="s">
        <v>146</v>
      </c>
      <c r="D625" t="s">
        <v>353</v>
      </c>
      <c r="E625" t="s">
        <v>166</v>
      </c>
      <c r="F625">
        <v>8.9</v>
      </c>
      <c r="G625">
        <v>94</v>
      </c>
      <c r="H625" t="s">
        <v>1003</v>
      </c>
      <c r="I625" t="s">
        <v>3080</v>
      </c>
      <c r="J625" t="s">
        <v>746</v>
      </c>
      <c r="K625" t="s">
        <v>468</v>
      </c>
      <c r="L625" t="s">
        <v>289</v>
      </c>
      <c r="M625">
        <v>1826188</v>
      </c>
      <c r="N625" s="25">
        <v>107928762</v>
      </c>
      <c r="O625" s="26">
        <v>154</v>
      </c>
      <c r="P625" t="s">
        <v>172</v>
      </c>
    </row>
    <row r="626" spans="1:16" ht="15" customHeight="1" x14ac:dyDescent="0.3">
      <c r="A626" t="s">
        <v>3081</v>
      </c>
      <c r="B626" t="s">
        <v>137</v>
      </c>
      <c r="C626" t="s">
        <v>78</v>
      </c>
      <c r="D626" t="s">
        <v>3082</v>
      </c>
      <c r="E626" t="s">
        <v>559</v>
      </c>
      <c r="F626">
        <v>8.9</v>
      </c>
      <c r="G626">
        <v>94</v>
      </c>
      <c r="H626" t="s">
        <v>437</v>
      </c>
      <c r="I626" t="s">
        <v>2725</v>
      </c>
      <c r="J626" t="s">
        <v>1158</v>
      </c>
      <c r="K626" t="s">
        <v>439</v>
      </c>
      <c r="L626" t="s">
        <v>683</v>
      </c>
      <c r="M626">
        <v>1642758</v>
      </c>
      <c r="N626" s="25">
        <v>377845905</v>
      </c>
      <c r="O626" s="26">
        <v>201</v>
      </c>
      <c r="P626" t="s">
        <v>96</v>
      </c>
    </row>
    <row r="627" spans="1:16" ht="15" customHeight="1" x14ac:dyDescent="0.3">
      <c r="A627" t="s">
        <v>3083</v>
      </c>
      <c r="B627" t="s">
        <v>1596</v>
      </c>
      <c r="C627" t="s">
        <v>78</v>
      </c>
      <c r="D627" t="s">
        <v>426</v>
      </c>
      <c r="E627" t="s">
        <v>129</v>
      </c>
      <c r="F627">
        <v>8.3000000000000007</v>
      </c>
      <c r="G627">
        <v>94</v>
      </c>
      <c r="H627" t="s">
        <v>1374</v>
      </c>
      <c r="I627" t="s">
        <v>1397</v>
      </c>
      <c r="J627" t="s">
        <v>2405</v>
      </c>
      <c r="K627" t="s">
        <v>3084</v>
      </c>
      <c r="L627" t="s">
        <v>3085</v>
      </c>
      <c r="M627">
        <v>164363</v>
      </c>
      <c r="N627" s="25">
        <v>18600000</v>
      </c>
      <c r="O627" s="26">
        <v>125</v>
      </c>
      <c r="P627" t="s">
        <v>135</v>
      </c>
    </row>
    <row r="628" spans="1:16" ht="15" customHeight="1" x14ac:dyDescent="0.3">
      <c r="A628" t="s">
        <v>3086</v>
      </c>
      <c r="B628" t="s">
        <v>1001</v>
      </c>
      <c r="C628" t="s">
        <v>78</v>
      </c>
      <c r="D628" t="s">
        <v>181</v>
      </c>
      <c r="E628" t="s">
        <v>1241</v>
      </c>
      <c r="F628">
        <v>8.1</v>
      </c>
      <c r="G628">
        <v>94</v>
      </c>
      <c r="H628" t="s">
        <v>2051</v>
      </c>
      <c r="I628" t="s">
        <v>3087</v>
      </c>
      <c r="J628" t="s">
        <v>2191</v>
      </c>
      <c r="K628" t="s">
        <v>3088</v>
      </c>
      <c r="L628" t="s">
        <v>3089</v>
      </c>
      <c r="M628">
        <v>616228</v>
      </c>
      <c r="N628" s="25">
        <v>356461711</v>
      </c>
      <c r="O628" s="26">
        <v>95</v>
      </c>
      <c r="P628" t="s">
        <v>572</v>
      </c>
    </row>
    <row r="629" spans="1:16" ht="15" customHeight="1" x14ac:dyDescent="0.3">
      <c r="A629" t="s">
        <v>3090</v>
      </c>
      <c r="B629" t="s">
        <v>951</v>
      </c>
      <c r="C629" t="s">
        <v>146</v>
      </c>
      <c r="D629" t="s">
        <v>341</v>
      </c>
      <c r="E629" t="s">
        <v>90</v>
      </c>
      <c r="F629">
        <v>7.7</v>
      </c>
      <c r="G629">
        <v>94</v>
      </c>
      <c r="H629" t="s">
        <v>2249</v>
      </c>
      <c r="I629" t="s">
        <v>1814</v>
      </c>
      <c r="J629" t="s">
        <v>1419</v>
      </c>
      <c r="K629" t="s">
        <v>3043</v>
      </c>
      <c r="L629" t="s">
        <v>3091</v>
      </c>
      <c r="M629">
        <v>110075</v>
      </c>
      <c r="N629" s="25">
        <v>15630710</v>
      </c>
      <c r="O629" s="26">
        <v>104</v>
      </c>
      <c r="P629" t="s">
        <v>96</v>
      </c>
    </row>
    <row r="630" spans="1:16" ht="15" customHeight="1" x14ac:dyDescent="0.3">
      <c r="A630" t="s">
        <v>3092</v>
      </c>
      <c r="B630" t="s">
        <v>471</v>
      </c>
      <c r="C630" t="s">
        <v>78</v>
      </c>
      <c r="D630" t="s">
        <v>1655</v>
      </c>
      <c r="E630" t="s">
        <v>129</v>
      </c>
      <c r="F630">
        <v>7.9</v>
      </c>
      <c r="G630">
        <v>94</v>
      </c>
      <c r="H630" t="s">
        <v>3093</v>
      </c>
      <c r="I630" t="s">
        <v>3094</v>
      </c>
      <c r="J630" t="s">
        <v>476</v>
      </c>
      <c r="K630" t="s">
        <v>3095</v>
      </c>
      <c r="L630" t="s">
        <v>3096</v>
      </c>
      <c r="M630">
        <v>246644</v>
      </c>
      <c r="N630" s="25">
        <v>2000000</v>
      </c>
      <c r="O630" s="26">
        <v>137</v>
      </c>
      <c r="P630" t="s">
        <v>135</v>
      </c>
    </row>
    <row r="631" spans="1:16" ht="15" customHeight="1" x14ac:dyDescent="0.3">
      <c r="A631" t="s">
        <v>3097</v>
      </c>
      <c r="B631" t="s">
        <v>465</v>
      </c>
      <c r="C631" t="s">
        <v>78</v>
      </c>
      <c r="D631" t="s">
        <v>1484</v>
      </c>
      <c r="E631" t="s">
        <v>1241</v>
      </c>
      <c r="F631">
        <v>8.3000000000000007</v>
      </c>
      <c r="G631">
        <v>95</v>
      </c>
      <c r="H631" t="s">
        <v>2739</v>
      </c>
      <c r="I631" t="s">
        <v>578</v>
      </c>
      <c r="J631" t="s">
        <v>2452</v>
      </c>
      <c r="K631" t="s">
        <v>244</v>
      </c>
      <c r="L631" t="s">
        <v>3098</v>
      </c>
      <c r="M631">
        <v>887429</v>
      </c>
      <c r="N631" s="25">
        <v>191796233</v>
      </c>
      <c r="O631" s="26">
        <v>81</v>
      </c>
      <c r="P631" t="s">
        <v>572</v>
      </c>
    </row>
    <row r="632" spans="1:16" ht="15" customHeight="1" x14ac:dyDescent="0.3">
      <c r="A632" t="s">
        <v>3099</v>
      </c>
      <c r="B632" t="s">
        <v>98</v>
      </c>
      <c r="C632" t="s">
        <v>78</v>
      </c>
      <c r="D632" t="s">
        <v>1664</v>
      </c>
      <c r="E632" t="s">
        <v>772</v>
      </c>
      <c r="F632">
        <v>8.4</v>
      </c>
      <c r="G632">
        <v>95</v>
      </c>
      <c r="H632" t="s">
        <v>3100</v>
      </c>
      <c r="I632" t="s">
        <v>3101</v>
      </c>
      <c r="J632" t="s">
        <v>3102</v>
      </c>
      <c r="K632" t="s">
        <v>3103</v>
      </c>
      <c r="L632" t="s">
        <v>3104</v>
      </c>
      <c r="M632">
        <v>999790</v>
      </c>
      <c r="N632" s="25">
        <v>223808164</v>
      </c>
      <c r="O632" s="26">
        <v>98</v>
      </c>
      <c r="P632" t="s">
        <v>572</v>
      </c>
    </row>
    <row r="633" spans="1:16" ht="15" customHeight="1" x14ac:dyDescent="0.3">
      <c r="A633" t="s">
        <v>3105</v>
      </c>
      <c r="B633" t="s">
        <v>753</v>
      </c>
      <c r="C633" t="s">
        <v>724</v>
      </c>
      <c r="D633" t="s">
        <v>1363</v>
      </c>
      <c r="E633" t="s">
        <v>2310</v>
      </c>
      <c r="F633">
        <v>8</v>
      </c>
      <c r="G633">
        <v>95</v>
      </c>
      <c r="H633" t="s">
        <v>3106</v>
      </c>
      <c r="I633" t="s">
        <v>3107</v>
      </c>
      <c r="J633" t="s">
        <v>3108</v>
      </c>
      <c r="K633" t="s">
        <v>3109</v>
      </c>
      <c r="L633" t="s">
        <v>3110</v>
      </c>
      <c r="M633">
        <v>417178</v>
      </c>
      <c r="N633" s="25">
        <v>218967620</v>
      </c>
      <c r="O633" s="26">
        <v>84</v>
      </c>
      <c r="P633" t="s">
        <v>572</v>
      </c>
    </row>
    <row r="634" spans="1:16" ht="15" customHeight="1" x14ac:dyDescent="0.3">
      <c r="A634" t="s">
        <v>3111</v>
      </c>
      <c r="B634" t="s">
        <v>401</v>
      </c>
      <c r="C634" t="s">
        <v>69</v>
      </c>
      <c r="D634" t="s">
        <v>100</v>
      </c>
      <c r="E634" t="s">
        <v>71</v>
      </c>
      <c r="F634">
        <v>8.3000000000000007</v>
      </c>
      <c r="G634">
        <v>95</v>
      </c>
      <c r="H634" t="s">
        <v>2545</v>
      </c>
      <c r="I634" t="s">
        <v>3112</v>
      </c>
      <c r="J634" t="s">
        <v>3113</v>
      </c>
      <c r="K634" t="s">
        <v>3114</v>
      </c>
      <c r="L634" t="s">
        <v>2683</v>
      </c>
      <c r="M634">
        <v>220002</v>
      </c>
      <c r="N634" s="25">
        <v>7098492</v>
      </c>
      <c r="O634" s="26">
        <v>123</v>
      </c>
      <c r="P634" t="s">
        <v>71</v>
      </c>
    </row>
    <row r="635" spans="1:16" ht="15" customHeight="1" x14ac:dyDescent="0.3">
      <c r="A635" t="s">
        <v>3115</v>
      </c>
      <c r="B635" t="s">
        <v>2687</v>
      </c>
      <c r="C635" t="s">
        <v>78</v>
      </c>
      <c r="D635" t="s">
        <v>811</v>
      </c>
      <c r="E635" t="s">
        <v>953</v>
      </c>
      <c r="F635">
        <v>7.8</v>
      </c>
      <c r="G635">
        <v>95</v>
      </c>
      <c r="H635" t="s">
        <v>2999</v>
      </c>
      <c r="I635" t="s">
        <v>2354</v>
      </c>
      <c r="J635" t="s">
        <v>3116</v>
      </c>
      <c r="K635" t="s">
        <v>3117</v>
      </c>
      <c r="L635" t="s">
        <v>3118</v>
      </c>
      <c r="M635">
        <v>86525</v>
      </c>
      <c r="N635" s="25">
        <v>72000000</v>
      </c>
      <c r="O635" s="26">
        <v>170</v>
      </c>
      <c r="P635" t="s">
        <v>71</v>
      </c>
    </row>
    <row r="636" spans="1:16" ht="15" customHeight="1" x14ac:dyDescent="0.3">
      <c r="A636" t="s">
        <v>3119</v>
      </c>
      <c r="B636" t="s">
        <v>1596</v>
      </c>
      <c r="C636" t="s">
        <v>146</v>
      </c>
      <c r="D636" t="s">
        <v>3120</v>
      </c>
      <c r="E636" t="s">
        <v>905</v>
      </c>
      <c r="F636">
        <v>8</v>
      </c>
      <c r="G636">
        <v>95</v>
      </c>
      <c r="H636" t="s">
        <v>3121</v>
      </c>
      <c r="I636" t="s">
        <v>3122</v>
      </c>
      <c r="J636" t="s">
        <v>3123</v>
      </c>
      <c r="K636" t="s">
        <v>3124</v>
      </c>
      <c r="L636" t="s">
        <v>3125</v>
      </c>
      <c r="M636">
        <v>66621</v>
      </c>
      <c r="N636" s="25">
        <v>19516000</v>
      </c>
      <c r="O636" s="26">
        <v>174</v>
      </c>
      <c r="P636" t="s">
        <v>135</v>
      </c>
    </row>
    <row r="637" spans="1:16" ht="15" customHeight="1" x14ac:dyDescent="0.3">
      <c r="A637" t="s">
        <v>3126</v>
      </c>
      <c r="B637" t="s">
        <v>126</v>
      </c>
      <c r="C637" t="s">
        <v>99</v>
      </c>
      <c r="D637" t="s">
        <v>524</v>
      </c>
      <c r="E637" t="s">
        <v>713</v>
      </c>
      <c r="F637">
        <v>7.7</v>
      </c>
      <c r="G637">
        <v>95</v>
      </c>
      <c r="H637" t="s">
        <v>602</v>
      </c>
      <c r="I637" t="s">
        <v>1456</v>
      </c>
      <c r="J637" t="s">
        <v>1236</v>
      </c>
      <c r="K637" t="s">
        <v>3127</v>
      </c>
      <c r="L637" t="s">
        <v>1103</v>
      </c>
      <c r="M637">
        <v>624982</v>
      </c>
      <c r="N637" s="25">
        <v>96962694</v>
      </c>
      <c r="O637" s="26">
        <v>120</v>
      </c>
      <c r="P637" t="s">
        <v>204</v>
      </c>
    </row>
    <row r="638" spans="1:16" ht="15" customHeight="1" x14ac:dyDescent="0.3">
      <c r="A638" t="s">
        <v>3128</v>
      </c>
      <c r="B638" t="s">
        <v>3129</v>
      </c>
      <c r="C638" t="s">
        <v>1542</v>
      </c>
      <c r="D638" t="s">
        <v>147</v>
      </c>
      <c r="E638" t="s">
        <v>3130</v>
      </c>
      <c r="F638">
        <v>8.3000000000000007</v>
      </c>
      <c r="G638">
        <v>95</v>
      </c>
      <c r="H638" t="s">
        <v>1374</v>
      </c>
      <c r="I638" t="s">
        <v>3084</v>
      </c>
      <c r="J638" t="s">
        <v>3131</v>
      </c>
      <c r="K638" t="s">
        <v>3132</v>
      </c>
      <c r="L638" t="s">
        <v>3133</v>
      </c>
      <c r="M638">
        <v>143525</v>
      </c>
      <c r="N638" s="25">
        <v>5720000</v>
      </c>
      <c r="O638" s="26">
        <v>107</v>
      </c>
      <c r="P638" t="s">
        <v>172</v>
      </c>
    </row>
    <row r="639" spans="1:16" ht="15" customHeight="1" x14ac:dyDescent="0.3">
      <c r="A639" t="s">
        <v>3134</v>
      </c>
      <c r="B639" t="s">
        <v>107</v>
      </c>
      <c r="C639" t="s">
        <v>146</v>
      </c>
      <c r="D639" t="s">
        <v>207</v>
      </c>
      <c r="E639" t="s">
        <v>1057</v>
      </c>
      <c r="F639">
        <v>8.1</v>
      </c>
      <c r="G639">
        <v>96</v>
      </c>
      <c r="H639" t="s">
        <v>460</v>
      </c>
      <c r="I639" t="s">
        <v>1627</v>
      </c>
      <c r="J639" t="s">
        <v>3135</v>
      </c>
      <c r="K639" t="s">
        <v>791</v>
      </c>
      <c r="L639" t="s">
        <v>227</v>
      </c>
      <c r="M639">
        <v>640533</v>
      </c>
      <c r="N639" s="25">
        <v>56671993</v>
      </c>
      <c r="O639" s="26">
        <v>134</v>
      </c>
      <c r="P639" t="s">
        <v>204</v>
      </c>
    </row>
    <row r="640" spans="1:16" ht="15" customHeight="1" x14ac:dyDescent="0.3">
      <c r="A640" t="s">
        <v>3136</v>
      </c>
      <c r="B640" t="s">
        <v>68</v>
      </c>
      <c r="C640" t="s">
        <v>78</v>
      </c>
      <c r="D640" t="s">
        <v>426</v>
      </c>
      <c r="E640" t="s">
        <v>772</v>
      </c>
      <c r="F640">
        <v>8.6</v>
      </c>
      <c r="G640">
        <v>96</v>
      </c>
      <c r="H640" t="s">
        <v>1785</v>
      </c>
      <c r="I640" t="s">
        <v>3137</v>
      </c>
      <c r="J640" t="s">
        <v>2867</v>
      </c>
      <c r="K640" t="s">
        <v>3138</v>
      </c>
      <c r="L640" t="s">
        <v>3139</v>
      </c>
      <c r="M640">
        <v>651376</v>
      </c>
      <c r="N640" s="25">
        <v>10055859</v>
      </c>
      <c r="O640" s="26">
        <v>125</v>
      </c>
      <c r="P640" t="s">
        <v>572</v>
      </c>
    </row>
    <row r="641" spans="1:16" ht="15" customHeight="1" x14ac:dyDescent="0.3">
      <c r="A641" t="s">
        <v>3140</v>
      </c>
      <c r="B641" t="s">
        <v>87</v>
      </c>
      <c r="C641" t="s">
        <v>78</v>
      </c>
      <c r="D641" t="s">
        <v>1144</v>
      </c>
      <c r="E641" t="s">
        <v>1241</v>
      </c>
      <c r="F641">
        <v>8</v>
      </c>
      <c r="G641">
        <v>96</v>
      </c>
      <c r="H641" t="s">
        <v>2137</v>
      </c>
      <c r="I641" t="s">
        <v>3141</v>
      </c>
      <c r="J641" t="s">
        <v>3142</v>
      </c>
      <c r="K641" t="s">
        <v>3143</v>
      </c>
      <c r="L641" t="s">
        <v>3144</v>
      </c>
      <c r="M641">
        <v>641645</v>
      </c>
      <c r="N641" s="25">
        <v>206445654</v>
      </c>
      <c r="O641" s="26">
        <v>111</v>
      </c>
      <c r="P641" t="s">
        <v>572</v>
      </c>
    </row>
    <row r="642" spans="1:16" ht="15" customHeight="1" x14ac:dyDescent="0.3">
      <c r="A642" t="s">
        <v>3145</v>
      </c>
      <c r="B642" t="s">
        <v>779</v>
      </c>
      <c r="C642" t="s">
        <v>99</v>
      </c>
      <c r="D642" t="s">
        <v>1655</v>
      </c>
      <c r="E642" t="s">
        <v>71</v>
      </c>
      <c r="F642">
        <v>7.8</v>
      </c>
      <c r="G642">
        <v>96</v>
      </c>
      <c r="H642" t="s">
        <v>3146</v>
      </c>
      <c r="I642" t="s">
        <v>1400</v>
      </c>
      <c r="J642" t="s">
        <v>933</v>
      </c>
      <c r="K642" t="s">
        <v>3147</v>
      </c>
      <c r="L642" t="s">
        <v>3148</v>
      </c>
      <c r="M642">
        <v>246963</v>
      </c>
      <c r="N642" s="25">
        <v>47695120</v>
      </c>
      <c r="O642" s="26">
        <v>137</v>
      </c>
      <c r="P642" t="s">
        <v>71</v>
      </c>
    </row>
    <row r="643" spans="1:16" ht="15" customHeight="1" x14ac:dyDescent="0.3">
      <c r="A643" t="s">
        <v>3149</v>
      </c>
      <c r="B643" t="s">
        <v>2659</v>
      </c>
      <c r="C643" t="s">
        <v>78</v>
      </c>
      <c r="D643" t="s">
        <v>1882</v>
      </c>
      <c r="E643" t="s">
        <v>166</v>
      </c>
      <c r="F643">
        <v>9</v>
      </c>
      <c r="G643">
        <v>96</v>
      </c>
      <c r="H643" t="s">
        <v>2626</v>
      </c>
      <c r="I643" t="s">
        <v>1069</v>
      </c>
      <c r="J643" t="s">
        <v>2251</v>
      </c>
      <c r="K643" t="s">
        <v>2506</v>
      </c>
      <c r="L643" t="s">
        <v>2650</v>
      </c>
      <c r="M643">
        <v>689845</v>
      </c>
      <c r="N643" s="25">
        <v>4360000</v>
      </c>
      <c r="O643" s="26">
        <v>96</v>
      </c>
      <c r="P643" t="s">
        <v>172</v>
      </c>
    </row>
    <row r="644" spans="1:16" ht="15" customHeight="1" x14ac:dyDescent="0.3">
      <c r="A644" t="s">
        <v>3150</v>
      </c>
      <c r="B644" t="s">
        <v>107</v>
      </c>
      <c r="C644" t="s">
        <v>99</v>
      </c>
      <c r="D644" t="s">
        <v>2695</v>
      </c>
      <c r="E644" t="s">
        <v>80</v>
      </c>
      <c r="F644">
        <v>7.7</v>
      </c>
      <c r="G644">
        <v>96</v>
      </c>
      <c r="H644" t="s">
        <v>2297</v>
      </c>
      <c r="I644" t="s">
        <v>297</v>
      </c>
      <c r="J644" t="s">
        <v>1112</v>
      </c>
      <c r="K644" t="s">
        <v>311</v>
      </c>
      <c r="L644" t="s">
        <v>3151</v>
      </c>
      <c r="M644">
        <v>769145</v>
      </c>
      <c r="N644" s="25">
        <v>274092705</v>
      </c>
      <c r="O644" s="26">
        <v>91</v>
      </c>
      <c r="P644" t="s">
        <v>71</v>
      </c>
    </row>
    <row r="645" spans="1:16" ht="15" customHeight="1" x14ac:dyDescent="0.3">
      <c r="A645" t="s">
        <v>3152</v>
      </c>
      <c r="B645" t="s">
        <v>3153</v>
      </c>
      <c r="C645" t="s">
        <v>1542</v>
      </c>
      <c r="D645" t="s">
        <v>190</v>
      </c>
      <c r="E645" t="s">
        <v>3154</v>
      </c>
      <c r="F645">
        <v>8</v>
      </c>
      <c r="G645">
        <v>96</v>
      </c>
      <c r="H645" t="s">
        <v>3155</v>
      </c>
      <c r="I645" t="s">
        <v>1069</v>
      </c>
      <c r="J645" t="s">
        <v>3156</v>
      </c>
      <c r="K645" t="s">
        <v>3157</v>
      </c>
      <c r="L645" t="s">
        <v>3158</v>
      </c>
      <c r="M645">
        <v>85559</v>
      </c>
      <c r="N645" s="25">
        <v>55000</v>
      </c>
      <c r="O645" s="26">
        <v>129</v>
      </c>
      <c r="P645" t="s">
        <v>71</v>
      </c>
    </row>
    <row r="646" spans="1:16" ht="15" customHeight="1" x14ac:dyDescent="0.3">
      <c r="A646" t="s">
        <v>3159</v>
      </c>
      <c r="B646" t="s">
        <v>3160</v>
      </c>
      <c r="C646" t="s">
        <v>724</v>
      </c>
      <c r="D646" t="s">
        <v>2409</v>
      </c>
      <c r="E646" t="s">
        <v>361</v>
      </c>
      <c r="F646">
        <v>8.5</v>
      </c>
      <c r="G646">
        <v>96</v>
      </c>
      <c r="H646" t="s">
        <v>3161</v>
      </c>
      <c r="I646" t="s">
        <v>3161</v>
      </c>
      <c r="J646" t="s">
        <v>3162</v>
      </c>
      <c r="K646" t="s">
        <v>3163</v>
      </c>
      <c r="L646" t="s">
        <v>3164</v>
      </c>
      <c r="M646">
        <v>217881</v>
      </c>
      <c r="N646" s="25">
        <v>163245</v>
      </c>
      <c r="O646" s="26">
        <v>87</v>
      </c>
      <c r="P646" t="s">
        <v>135</v>
      </c>
    </row>
    <row r="647" spans="1:16" ht="15" customHeight="1" x14ac:dyDescent="0.3">
      <c r="A647" t="s">
        <v>3165</v>
      </c>
      <c r="B647" t="s">
        <v>471</v>
      </c>
      <c r="C647" t="s">
        <v>146</v>
      </c>
      <c r="D647" t="s">
        <v>70</v>
      </c>
      <c r="E647" t="s">
        <v>1115</v>
      </c>
      <c r="F647">
        <v>8.6</v>
      </c>
      <c r="G647">
        <v>96</v>
      </c>
      <c r="H647" t="s">
        <v>2046</v>
      </c>
      <c r="I647" t="s">
        <v>391</v>
      </c>
      <c r="J647" t="s">
        <v>3166</v>
      </c>
      <c r="K647" t="s">
        <v>3167</v>
      </c>
      <c r="L647" t="s">
        <v>3168</v>
      </c>
      <c r="M647">
        <v>552778</v>
      </c>
      <c r="N647" s="25">
        <v>53367844</v>
      </c>
      <c r="O647" s="26">
        <v>132</v>
      </c>
      <c r="P647" t="s">
        <v>135</v>
      </c>
    </row>
    <row r="648" spans="1:16" ht="15" customHeight="1" x14ac:dyDescent="0.3">
      <c r="A648" t="s">
        <v>3169</v>
      </c>
      <c r="B648" t="s">
        <v>641</v>
      </c>
      <c r="C648" t="s">
        <v>78</v>
      </c>
      <c r="D648" t="s">
        <v>376</v>
      </c>
      <c r="E648" t="s">
        <v>731</v>
      </c>
      <c r="F648">
        <v>8.1999999999999993</v>
      </c>
      <c r="G648">
        <v>96</v>
      </c>
      <c r="H648" t="s">
        <v>3170</v>
      </c>
      <c r="I648" t="s">
        <v>3171</v>
      </c>
      <c r="J648" t="s">
        <v>3172</v>
      </c>
      <c r="K648" t="s">
        <v>3173</v>
      </c>
      <c r="L648" t="s">
        <v>3174</v>
      </c>
      <c r="M648">
        <v>112505</v>
      </c>
      <c r="N648" s="25">
        <v>4135750</v>
      </c>
      <c r="O648" s="26">
        <v>162</v>
      </c>
      <c r="P648" t="s">
        <v>96</v>
      </c>
    </row>
    <row r="649" spans="1:16" ht="15" customHeight="1" x14ac:dyDescent="0.3">
      <c r="A649" t="s">
        <v>3175</v>
      </c>
      <c r="B649" t="s">
        <v>2687</v>
      </c>
      <c r="C649" t="s">
        <v>78</v>
      </c>
      <c r="D649" t="s">
        <v>2409</v>
      </c>
      <c r="E649" t="s">
        <v>3176</v>
      </c>
      <c r="F649">
        <v>7.6</v>
      </c>
      <c r="G649">
        <v>96</v>
      </c>
      <c r="H649" t="s">
        <v>3177</v>
      </c>
      <c r="I649" t="s">
        <v>3178</v>
      </c>
      <c r="J649" t="s">
        <v>3179</v>
      </c>
      <c r="K649" t="s">
        <v>3180</v>
      </c>
      <c r="L649" t="s">
        <v>3181</v>
      </c>
      <c r="M649">
        <v>40351</v>
      </c>
      <c r="N649" s="25">
        <v>13780024</v>
      </c>
      <c r="O649" s="26">
        <v>87</v>
      </c>
      <c r="P649" t="s">
        <v>135</v>
      </c>
    </row>
    <row r="650" spans="1:16" ht="15" customHeight="1" x14ac:dyDescent="0.3">
      <c r="A650" t="s">
        <v>3182</v>
      </c>
      <c r="B650" t="s">
        <v>863</v>
      </c>
      <c r="C650" t="s">
        <v>146</v>
      </c>
      <c r="D650" t="s">
        <v>1283</v>
      </c>
      <c r="E650" t="s">
        <v>1597</v>
      </c>
      <c r="F650">
        <v>7.9</v>
      </c>
      <c r="G650">
        <v>97</v>
      </c>
      <c r="H650" t="s">
        <v>3183</v>
      </c>
      <c r="I650" t="s">
        <v>2660</v>
      </c>
      <c r="J650" t="s">
        <v>3184</v>
      </c>
      <c r="K650" t="s">
        <v>3185</v>
      </c>
      <c r="L650" t="s">
        <v>3186</v>
      </c>
      <c r="M650">
        <v>77401</v>
      </c>
      <c r="N650" s="25">
        <v>12064472</v>
      </c>
      <c r="O650" s="26">
        <v>145</v>
      </c>
      <c r="P650" t="s">
        <v>96</v>
      </c>
    </row>
    <row r="651" spans="1:16" ht="15" customHeight="1" x14ac:dyDescent="0.3">
      <c r="A651" t="s">
        <v>3187</v>
      </c>
      <c r="B651" t="s">
        <v>1596</v>
      </c>
      <c r="C651" t="s">
        <v>146</v>
      </c>
      <c r="D651" t="s">
        <v>410</v>
      </c>
      <c r="E651" t="s">
        <v>156</v>
      </c>
      <c r="F651">
        <v>8.5</v>
      </c>
      <c r="G651">
        <v>97</v>
      </c>
      <c r="H651" t="s">
        <v>1698</v>
      </c>
      <c r="I651" t="s">
        <v>3188</v>
      </c>
      <c r="J651" t="s">
        <v>3189</v>
      </c>
      <c r="K651" t="s">
        <v>3190</v>
      </c>
      <c r="L651" t="s">
        <v>3191</v>
      </c>
      <c r="M651">
        <v>604211</v>
      </c>
      <c r="N651" s="25">
        <v>32000000</v>
      </c>
      <c r="O651" s="26">
        <v>109</v>
      </c>
      <c r="P651" t="s">
        <v>162</v>
      </c>
    </row>
    <row r="652" spans="1:16" ht="15" customHeight="1" x14ac:dyDescent="0.3">
      <c r="A652" t="s">
        <v>3192</v>
      </c>
      <c r="B652" t="s">
        <v>1371</v>
      </c>
      <c r="C652" t="s">
        <v>146</v>
      </c>
      <c r="D652" t="s">
        <v>490</v>
      </c>
      <c r="E652" t="s">
        <v>71</v>
      </c>
      <c r="F652">
        <v>8</v>
      </c>
      <c r="G652">
        <v>97</v>
      </c>
      <c r="H652" t="s">
        <v>2960</v>
      </c>
      <c r="I652" t="s">
        <v>3193</v>
      </c>
      <c r="J652" t="s">
        <v>2961</v>
      </c>
      <c r="K652" t="s">
        <v>2025</v>
      </c>
      <c r="L652" t="s">
        <v>2929</v>
      </c>
      <c r="M652">
        <v>99182</v>
      </c>
      <c r="N652" s="25">
        <v>8000000</v>
      </c>
      <c r="O652" s="26">
        <v>122</v>
      </c>
      <c r="P652" t="s">
        <v>71</v>
      </c>
    </row>
    <row r="653" spans="1:16" ht="15" customHeight="1" x14ac:dyDescent="0.3">
      <c r="A653" t="s">
        <v>3194</v>
      </c>
      <c r="B653" t="s">
        <v>417</v>
      </c>
      <c r="C653" t="s">
        <v>78</v>
      </c>
      <c r="D653" t="s">
        <v>155</v>
      </c>
      <c r="E653" t="s">
        <v>713</v>
      </c>
      <c r="F653">
        <v>7.9</v>
      </c>
      <c r="G653">
        <v>97</v>
      </c>
      <c r="H653" t="s">
        <v>1807</v>
      </c>
      <c r="I653" t="s">
        <v>1828</v>
      </c>
      <c r="J653" t="s">
        <v>3195</v>
      </c>
      <c r="K653" t="s">
        <v>3196</v>
      </c>
      <c r="L653" t="s">
        <v>3197</v>
      </c>
      <c r="M653">
        <v>68076</v>
      </c>
      <c r="N653" s="25">
        <v>14743391</v>
      </c>
      <c r="O653" s="26">
        <v>103</v>
      </c>
      <c r="P653" t="s">
        <v>204</v>
      </c>
    </row>
    <row r="654" spans="1:16" ht="15" customHeight="1" x14ac:dyDescent="0.3">
      <c r="A654" t="s">
        <v>3198</v>
      </c>
      <c r="B654" t="s">
        <v>1541</v>
      </c>
      <c r="C654" t="s">
        <v>78</v>
      </c>
      <c r="D654" t="s">
        <v>3199</v>
      </c>
      <c r="E654" t="s">
        <v>3200</v>
      </c>
      <c r="F654">
        <v>8.1</v>
      </c>
      <c r="G654">
        <v>97</v>
      </c>
      <c r="H654" t="s">
        <v>2998</v>
      </c>
      <c r="I654" t="s">
        <v>2999</v>
      </c>
      <c r="J654" t="s">
        <v>3201</v>
      </c>
      <c r="K654" t="s">
        <v>2719</v>
      </c>
      <c r="L654" t="s">
        <v>3193</v>
      </c>
      <c r="M654">
        <v>290074</v>
      </c>
      <c r="N654" s="25">
        <v>198676459</v>
      </c>
      <c r="O654" s="26">
        <v>238</v>
      </c>
      <c r="P654" t="s">
        <v>71</v>
      </c>
    </row>
    <row r="655" spans="1:16" ht="15" customHeight="1" x14ac:dyDescent="0.3">
      <c r="A655" t="s">
        <v>3202</v>
      </c>
      <c r="B655" t="s">
        <v>3203</v>
      </c>
      <c r="C655" t="s">
        <v>127</v>
      </c>
      <c r="D655" t="s">
        <v>1084</v>
      </c>
      <c r="E655" t="s">
        <v>3204</v>
      </c>
      <c r="F655">
        <v>7.9</v>
      </c>
      <c r="G655">
        <v>97</v>
      </c>
      <c r="H655" t="s">
        <v>3205</v>
      </c>
      <c r="I655" t="s">
        <v>3206</v>
      </c>
      <c r="J655" t="s">
        <v>3207</v>
      </c>
      <c r="K655" t="s">
        <v>3208</v>
      </c>
      <c r="L655" t="s">
        <v>3209</v>
      </c>
      <c r="M655">
        <v>47175</v>
      </c>
      <c r="N655" s="25">
        <v>3981000</v>
      </c>
      <c r="O655" s="26">
        <v>102</v>
      </c>
      <c r="P655" t="s">
        <v>96</v>
      </c>
    </row>
    <row r="656" spans="1:16" ht="15" customHeight="1" x14ac:dyDescent="0.3">
      <c r="A656" t="s">
        <v>3210</v>
      </c>
      <c r="B656" t="s">
        <v>2687</v>
      </c>
      <c r="C656" t="s">
        <v>146</v>
      </c>
      <c r="D656" t="s">
        <v>181</v>
      </c>
      <c r="E656" t="s">
        <v>135</v>
      </c>
      <c r="F656">
        <v>8.4</v>
      </c>
      <c r="G656">
        <v>97</v>
      </c>
      <c r="H656" t="s">
        <v>919</v>
      </c>
      <c r="I656" t="s">
        <v>2404</v>
      </c>
      <c r="J656" t="s">
        <v>2928</v>
      </c>
      <c r="K656" t="s">
        <v>3211</v>
      </c>
      <c r="L656" t="s">
        <v>3212</v>
      </c>
      <c r="M656">
        <v>450474</v>
      </c>
      <c r="N656" s="25">
        <v>275902</v>
      </c>
      <c r="O656" s="26">
        <v>95</v>
      </c>
      <c r="P656" t="s">
        <v>135</v>
      </c>
    </row>
    <row r="657" spans="1:16" ht="15" customHeight="1" x14ac:dyDescent="0.3">
      <c r="A657" t="s">
        <v>3213</v>
      </c>
      <c r="B657" t="s">
        <v>3214</v>
      </c>
      <c r="C657" t="s">
        <v>1542</v>
      </c>
      <c r="D657" t="s">
        <v>612</v>
      </c>
      <c r="E657" t="s">
        <v>71</v>
      </c>
      <c r="F657">
        <v>8.1999999999999993</v>
      </c>
      <c r="G657">
        <v>98</v>
      </c>
      <c r="H657" t="s">
        <v>3215</v>
      </c>
      <c r="I657" t="s">
        <v>1714</v>
      </c>
      <c r="J657" t="s">
        <v>3216</v>
      </c>
      <c r="K657" t="s">
        <v>3217</v>
      </c>
      <c r="L657" t="s">
        <v>3218</v>
      </c>
      <c r="M657">
        <v>120539</v>
      </c>
      <c r="N657" s="25">
        <v>10177</v>
      </c>
      <c r="O657" s="26">
        <v>138</v>
      </c>
      <c r="P657" t="s">
        <v>71</v>
      </c>
    </row>
    <row r="658" spans="1:16" ht="15" customHeight="1" x14ac:dyDescent="0.3">
      <c r="A658" t="s">
        <v>3219</v>
      </c>
      <c r="B658" t="s">
        <v>2904</v>
      </c>
      <c r="C658" t="s">
        <v>78</v>
      </c>
      <c r="D658" t="s">
        <v>484</v>
      </c>
      <c r="E658" t="s">
        <v>3220</v>
      </c>
      <c r="F658">
        <v>8.1999999999999993</v>
      </c>
      <c r="G658">
        <v>98</v>
      </c>
      <c r="H658" t="s">
        <v>1374</v>
      </c>
      <c r="I658" t="s">
        <v>3221</v>
      </c>
      <c r="J658" t="s">
        <v>3222</v>
      </c>
      <c r="K658" t="s">
        <v>1397</v>
      </c>
      <c r="L658" t="s">
        <v>3223</v>
      </c>
      <c r="M658">
        <v>243943</v>
      </c>
      <c r="N658" s="25">
        <v>25000000</v>
      </c>
      <c r="O658" s="26">
        <v>121</v>
      </c>
      <c r="P658" t="s">
        <v>135</v>
      </c>
    </row>
    <row r="659" spans="1:16" ht="15" customHeight="1" x14ac:dyDescent="0.3">
      <c r="A659" t="s">
        <v>3224</v>
      </c>
      <c r="B659" t="s">
        <v>3225</v>
      </c>
      <c r="C659" t="s">
        <v>1542</v>
      </c>
      <c r="D659" t="s">
        <v>287</v>
      </c>
      <c r="E659" t="s">
        <v>1358</v>
      </c>
      <c r="F659">
        <v>8.1999999999999993</v>
      </c>
      <c r="G659">
        <v>98</v>
      </c>
      <c r="H659" t="s">
        <v>2972</v>
      </c>
      <c r="I659" t="s">
        <v>2973</v>
      </c>
      <c r="J659" t="s">
        <v>3226</v>
      </c>
      <c r="K659" t="s">
        <v>3227</v>
      </c>
      <c r="L659" t="s">
        <v>3228</v>
      </c>
      <c r="M659">
        <v>114304</v>
      </c>
      <c r="N659" s="25">
        <v>5014000</v>
      </c>
      <c r="O659" s="26">
        <v>126</v>
      </c>
      <c r="P659" t="s">
        <v>124</v>
      </c>
    </row>
    <row r="660" spans="1:16" ht="15" customHeight="1" x14ac:dyDescent="0.3">
      <c r="A660" t="s">
        <v>3229</v>
      </c>
      <c r="B660" t="s">
        <v>2904</v>
      </c>
      <c r="C660" t="s">
        <v>78</v>
      </c>
      <c r="D660" t="s">
        <v>960</v>
      </c>
      <c r="E660" t="s">
        <v>3230</v>
      </c>
      <c r="F660">
        <v>8.3000000000000007</v>
      </c>
      <c r="G660">
        <v>98</v>
      </c>
      <c r="H660" t="s">
        <v>1698</v>
      </c>
      <c r="I660" t="s">
        <v>2353</v>
      </c>
      <c r="J660" t="s">
        <v>3231</v>
      </c>
      <c r="K660" t="s">
        <v>3232</v>
      </c>
      <c r="L660" t="s">
        <v>3233</v>
      </c>
      <c r="M660">
        <v>299198</v>
      </c>
      <c r="N660" s="25">
        <v>13275000</v>
      </c>
      <c r="O660" s="26">
        <v>136</v>
      </c>
      <c r="P660" t="s">
        <v>124</v>
      </c>
    </row>
    <row r="661" spans="1:16" ht="15" customHeight="1" x14ac:dyDescent="0.3">
      <c r="A661" t="s">
        <v>3234</v>
      </c>
      <c r="B661" t="s">
        <v>2456</v>
      </c>
      <c r="C661" t="s">
        <v>69</v>
      </c>
      <c r="D661" t="s">
        <v>181</v>
      </c>
      <c r="E661" t="s">
        <v>3130</v>
      </c>
      <c r="F661">
        <v>8</v>
      </c>
      <c r="G661">
        <v>99</v>
      </c>
      <c r="H661" t="s">
        <v>3235</v>
      </c>
      <c r="I661" t="s">
        <v>2023</v>
      </c>
      <c r="J661" t="s">
        <v>3235</v>
      </c>
      <c r="K661" t="s">
        <v>3189</v>
      </c>
      <c r="L661" t="s">
        <v>3236</v>
      </c>
      <c r="M661">
        <v>98431</v>
      </c>
      <c r="N661" s="25">
        <v>2237659</v>
      </c>
      <c r="O661" s="26">
        <v>95</v>
      </c>
      <c r="P661" t="s">
        <v>172</v>
      </c>
    </row>
    <row r="662" spans="1:16" ht="15" customHeight="1" x14ac:dyDescent="0.3">
      <c r="A662" t="s">
        <v>3237</v>
      </c>
      <c r="B662" t="s">
        <v>3238</v>
      </c>
      <c r="C662" t="s">
        <v>724</v>
      </c>
      <c r="D662" t="s">
        <v>2409</v>
      </c>
      <c r="E662" t="s">
        <v>129</v>
      </c>
      <c r="F662">
        <v>8.5</v>
      </c>
      <c r="G662">
        <v>99</v>
      </c>
      <c r="H662" t="s">
        <v>3161</v>
      </c>
      <c r="I662" t="s">
        <v>3161</v>
      </c>
      <c r="J662" t="s">
        <v>3239</v>
      </c>
      <c r="K662" t="s">
        <v>3240</v>
      </c>
      <c r="L662" t="s">
        <v>3241</v>
      </c>
      <c r="M662">
        <v>167839</v>
      </c>
      <c r="N662" s="25">
        <v>19181</v>
      </c>
      <c r="O662" s="26">
        <v>87</v>
      </c>
      <c r="P662" t="s">
        <v>135</v>
      </c>
    </row>
    <row r="663" spans="1:16" ht="15" customHeight="1" x14ac:dyDescent="0.3">
      <c r="A663" t="s">
        <v>3242</v>
      </c>
      <c r="B663" t="s">
        <v>2840</v>
      </c>
      <c r="C663" t="s">
        <v>724</v>
      </c>
      <c r="D663" t="s">
        <v>155</v>
      </c>
      <c r="E663" t="s">
        <v>3243</v>
      </c>
      <c r="F663">
        <v>8.3000000000000007</v>
      </c>
      <c r="G663">
        <v>99</v>
      </c>
      <c r="H663" t="s">
        <v>2352</v>
      </c>
      <c r="I663" t="s">
        <v>3244</v>
      </c>
      <c r="J663" t="s">
        <v>3244</v>
      </c>
      <c r="K663" t="s">
        <v>3245</v>
      </c>
      <c r="L663" t="s">
        <v>3246</v>
      </c>
      <c r="M663">
        <v>218957</v>
      </c>
      <c r="N663" s="25">
        <v>8819028</v>
      </c>
      <c r="O663" s="26">
        <v>103</v>
      </c>
      <c r="P663" t="s">
        <v>135</v>
      </c>
    </row>
    <row r="664" spans="1:16" ht="15" customHeight="1" x14ac:dyDescent="0.3">
      <c r="A664" t="s">
        <v>3247</v>
      </c>
      <c r="B664" t="s">
        <v>2195</v>
      </c>
      <c r="C664" t="s">
        <v>146</v>
      </c>
      <c r="D664" t="s">
        <v>3248</v>
      </c>
      <c r="E664" t="s">
        <v>166</v>
      </c>
      <c r="F664">
        <v>9.1999999999999993</v>
      </c>
      <c r="G664">
        <v>100</v>
      </c>
      <c r="H664" t="s">
        <v>533</v>
      </c>
      <c r="I664" t="s">
        <v>2961</v>
      </c>
      <c r="J664" t="s">
        <v>505</v>
      </c>
      <c r="K664" t="s">
        <v>1682</v>
      </c>
      <c r="L664" t="s">
        <v>534</v>
      </c>
      <c r="M664">
        <v>1620367</v>
      </c>
      <c r="N664" s="25">
        <v>134966411</v>
      </c>
      <c r="O664" s="26">
        <v>175</v>
      </c>
      <c r="P664" t="s">
        <v>172</v>
      </c>
    </row>
    <row r="665" spans="1:16" ht="15" customHeight="1" x14ac:dyDescent="0.3">
      <c r="A665" t="s">
        <v>3249</v>
      </c>
      <c r="B665" t="s">
        <v>547</v>
      </c>
      <c r="C665" t="s">
        <v>146</v>
      </c>
      <c r="D665" t="s">
        <v>230</v>
      </c>
      <c r="E665" t="s">
        <v>71</v>
      </c>
      <c r="F665">
        <v>7.9</v>
      </c>
      <c r="G665">
        <v>100</v>
      </c>
      <c r="H665" t="s">
        <v>1931</v>
      </c>
      <c r="I665" t="s">
        <v>3250</v>
      </c>
      <c r="J665" t="s">
        <v>480</v>
      </c>
      <c r="K665" t="s">
        <v>630</v>
      </c>
      <c r="L665" t="s">
        <v>3251</v>
      </c>
      <c r="M665">
        <v>335533</v>
      </c>
      <c r="N665" s="25">
        <v>25379975</v>
      </c>
      <c r="O665" s="26">
        <v>165</v>
      </c>
      <c r="P665" t="s">
        <v>71</v>
      </c>
    </row>
    <row r="666" spans="1:16" ht="15" customHeight="1" x14ac:dyDescent="0.3">
      <c r="A666" t="s">
        <v>3252</v>
      </c>
      <c r="B666" t="s">
        <v>1697</v>
      </c>
      <c r="C666" t="s">
        <v>78</v>
      </c>
      <c r="D666" t="s">
        <v>402</v>
      </c>
      <c r="E666" t="s">
        <v>700</v>
      </c>
      <c r="F666">
        <v>8.4</v>
      </c>
      <c r="G666">
        <v>100</v>
      </c>
      <c r="H666" t="s">
        <v>1698</v>
      </c>
      <c r="I666" t="s">
        <v>1544</v>
      </c>
      <c r="J666" t="s">
        <v>1700</v>
      </c>
      <c r="K666" t="s">
        <v>3253</v>
      </c>
      <c r="L666" t="s">
        <v>3254</v>
      </c>
      <c r="M666">
        <v>444074</v>
      </c>
      <c r="N666" s="25">
        <v>36764313</v>
      </c>
      <c r="O666" s="26">
        <v>112</v>
      </c>
      <c r="P666" t="s">
        <v>705</v>
      </c>
    </row>
    <row r="667" spans="1:16" ht="15" customHeight="1" x14ac:dyDescent="0.3">
      <c r="A667" t="s">
        <v>3255</v>
      </c>
      <c r="B667" t="s">
        <v>237</v>
      </c>
      <c r="C667" t="s">
        <v>99</v>
      </c>
      <c r="D667" t="s">
        <v>79</v>
      </c>
      <c r="E667" t="s">
        <v>71</v>
      </c>
      <c r="F667">
        <v>8</v>
      </c>
      <c r="G667">
        <v>100</v>
      </c>
      <c r="H667" t="s">
        <v>1837</v>
      </c>
      <c r="I667" t="s">
        <v>3063</v>
      </c>
      <c r="J667" t="s">
        <v>3256</v>
      </c>
      <c r="K667" t="s">
        <v>3257</v>
      </c>
      <c r="L667" t="s">
        <v>3258</v>
      </c>
      <c r="M667">
        <v>27067</v>
      </c>
      <c r="N667" s="25">
        <v>541940</v>
      </c>
      <c r="O667" s="26">
        <v>113</v>
      </c>
      <c r="P667" t="s">
        <v>71</v>
      </c>
    </row>
    <row r="668" spans="1:16" ht="15" customHeight="1" x14ac:dyDescent="0.3">
      <c r="A668" t="s">
        <v>3259</v>
      </c>
      <c r="B668" t="s">
        <v>3260</v>
      </c>
      <c r="C668" t="s">
        <v>78</v>
      </c>
      <c r="D668" t="s">
        <v>1084</v>
      </c>
      <c r="E668" t="s">
        <v>1138</v>
      </c>
      <c r="F668">
        <v>8.5</v>
      </c>
      <c r="G668">
        <v>100</v>
      </c>
      <c r="H668" t="s">
        <v>3205</v>
      </c>
      <c r="I668" t="s">
        <v>2973</v>
      </c>
      <c r="J668" t="s">
        <v>3261</v>
      </c>
      <c r="K668" t="s">
        <v>3262</v>
      </c>
      <c r="L668" t="s">
        <v>1546</v>
      </c>
      <c r="M668">
        <v>522093</v>
      </c>
      <c r="N668" s="25">
        <v>1024560</v>
      </c>
      <c r="O668" s="26">
        <v>102</v>
      </c>
      <c r="P668" t="s">
        <v>71</v>
      </c>
    </row>
    <row r="669" spans="1:16" ht="15" customHeight="1" x14ac:dyDescent="0.3">
      <c r="A669" t="s">
        <v>3263</v>
      </c>
      <c r="B669" t="s">
        <v>3264</v>
      </c>
      <c r="C669" t="s">
        <v>99</v>
      </c>
      <c r="D669" t="s">
        <v>478</v>
      </c>
      <c r="E669" t="s">
        <v>2544</v>
      </c>
      <c r="F669">
        <v>8.3000000000000007</v>
      </c>
      <c r="G669">
        <v>100</v>
      </c>
      <c r="H669" t="s">
        <v>3235</v>
      </c>
      <c r="I669" t="s">
        <v>3235</v>
      </c>
      <c r="J669" t="s">
        <v>3265</v>
      </c>
      <c r="K669" t="s">
        <v>3266</v>
      </c>
      <c r="L669" t="s">
        <v>3267</v>
      </c>
      <c r="M669">
        <v>403351</v>
      </c>
      <c r="N669" s="25">
        <v>1585634</v>
      </c>
      <c r="O669" s="26">
        <v>119</v>
      </c>
      <c r="P669" t="s">
        <v>71</v>
      </c>
    </row>
    <row r="670" spans="1:16" ht="15" customHeight="1" x14ac:dyDescent="0.3">
      <c r="A670" t="s">
        <v>3268</v>
      </c>
      <c r="B670" t="s">
        <v>3030</v>
      </c>
      <c r="C670" t="s">
        <v>78</v>
      </c>
      <c r="D670" t="s">
        <v>1084</v>
      </c>
      <c r="E670" t="s">
        <v>3269</v>
      </c>
      <c r="F670">
        <v>7.9</v>
      </c>
      <c r="G670">
        <v>100</v>
      </c>
      <c r="H670" t="s">
        <v>1698</v>
      </c>
      <c r="I670" t="s">
        <v>2353</v>
      </c>
      <c r="J670" t="s">
        <v>3261</v>
      </c>
      <c r="K670" t="s">
        <v>1546</v>
      </c>
      <c r="L670" t="s">
        <v>3270</v>
      </c>
      <c r="M670">
        <v>92306</v>
      </c>
      <c r="N670" s="25">
        <v>10464000</v>
      </c>
      <c r="O670" s="26">
        <v>102</v>
      </c>
      <c r="P670" t="s">
        <v>71</v>
      </c>
    </row>
    <row r="671" spans="1:16" ht="15" customHeight="1" x14ac:dyDescent="0.3">
      <c r="A671" t="s">
        <v>3271</v>
      </c>
      <c r="B671" t="s">
        <v>2456</v>
      </c>
      <c r="C671" t="s">
        <v>146</v>
      </c>
      <c r="D671" t="s">
        <v>396</v>
      </c>
      <c r="E671" t="s">
        <v>3272</v>
      </c>
      <c r="F671">
        <v>8.3000000000000007</v>
      </c>
      <c r="G671">
        <v>100</v>
      </c>
      <c r="H671" t="s">
        <v>1698</v>
      </c>
      <c r="I671" t="s">
        <v>1544</v>
      </c>
      <c r="J671" t="s">
        <v>3273</v>
      </c>
      <c r="K671" t="s">
        <v>3274</v>
      </c>
      <c r="L671" t="s">
        <v>3275</v>
      </c>
      <c r="M671">
        <v>364368</v>
      </c>
      <c r="N671" s="25">
        <v>3200000</v>
      </c>
      <c r="O671" s="26">
        <v>128</v>
      </c>
      <c r="P671" t="s">
        <v>705</v>
      </c>
    </row>
    <row r="672" spans="1:16" ht="15" customHeight="1" x14ac:dyDescent="0.3">
      <c r="A672" t="s">
        <v>3276</v>
      </c>
      <c r="B672" t="s">
        <v>749</v>
      </c>
      <c r="C672" t="s">
        <v>78</v>
      </c>
      <c r="D672" t="s">
        <v>886</v>
      </c>
      <c r="E672" t="s">
        <v>1843</v>
      </c>
      <c r="F672">
        <v>8.1</v>
      </c>
      <c r="G672">
        <v>100</v>
      </c>
      <c r="H672" t="s">
        <v>2638</v>
      </c>
      <c r="I672" t="s">
        <v>2639</v>
      </c>
      <c r="J672" t="s">
        <v>3063</v>
      </c>
      <c r="K672" t="s">
        <v>3277</v>
      </c>
      <c r="L672" t="s">
        <v>3278</v>
      </c>
      <c r="M672">
        <v>90729</v>
      </c>
      <c r="N672" s="25">
        <v>4043686</v>
      </c>
      <c r="O672" s="26">
        <v>99</v>
      </c>
      <c r="P672" t="s">
        <v>71</v>
      </c>
    </row>
    <row r="673" spans="1:16" ht="15" customHeight="1" x14ac:dyDescent="0.3">
      <c r="A673" t="s">
        <v>3279</v>
      </c>
      <c r="B673" t="s">
        <v>1712</v>
      </c>
      <c r="C673" t="s">
        <v>78</v>
      </c>
      <c r="D673" t="s">
        <v>3280</v>
      </c>
      <c r="E673" t="s">
        <v>1436</v>
      </c>
      <c r="F673">
        <v>8.3000000000000007</v>
      </c>
      <c r="G673">
        <v>100</v>
      </c>
      <c r="H673" t="s">
        <v>1139</v>
      </c>
      <c r="I673" t="s">
        <v>1840</v>
      </c>
      <c r="J673" t="s">
        <v>2661</v>
      </c>
      <c r="K673" t="s">
        <v>3281</v>
      </c>
      <c r="L673" t="s">
        <v>2662</v>
      </c>
      <c r="M673">
        <v>268085</v>
      </c>
      <c r="N673" s="25">
        <v>44824144</v>
      </c>
      <c r="O673" s="26">
        <v>228</v>
      </c>
      <c r="P673" t="s">
        <v>124</v>
      </c>
    </row>
    <row r="674" spans="1:16" ht="15" customHeight="1" x14ac:dyDescent="0.3">
      <c r="A674" t="s">
        <v>3282</v>
      </c>
      <c r="B674" t="s">
        <v>180</v>
      </c>
      <c r="C674" t="s">
        <v>146</v>
      </c>
      <c r="D674" t="s">
        <v>1936</v>
      </c>
      <c r="E674" t="s">
        <v>71</v>
      </c>
      <c r="F674">
        <v>8.1</v>
      </c>
      <c r="G674">
        <v>100</v>
      </c>
      <c r="H674" t="s">
        <v>3283</v>
      </c>
      <c r="I674" t="s">
        <v>3284</v>
      </c>
      <c r="J674" t="s">
        <v>3285</v>
      </c>
      <c r="K674" t="s">
        <v>3286</v>
      </c>
      <c r="L674" t="s">
        <v>3287</v>
      </c>
      <c r="M674">
        <v>57784</v>
      </c>
      <c r="N674" s="25">
        <v>4971340</v>
      </c>
      <c r="O674" s="26">
        <v>188</v>
      </c>
      <c r="P674" t="s">
        <v>71</v>
      </c>
    </row>
  </sheetData>
  <autoFilter ref="A1:P1" xr:uid="{00000000-0009-0000-0000-000005000000}"/>
  <conditionalFormatting sqref="F2:F674">
    <cfRule type="colorScale" priority="2">
      <colorScale>
        <cfvo type="min"/>
        <cfvo type="percentile" val="50"/>
        <cfvo type="max"/>
        <color rgb="FFFF4444"/>
        <color rgb="FFFFFF44"/>
        <color rgb="FF44BB44"/>
      </colorScale>
    </cfRule>
  </conditionalFormatting>
  <conditionalFormatting sqref="N2:N674">
    <cfRule type="dataBar" priority="3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{774D61A2-2A30-427D-BA15-A3CDFF57BA30}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A2:P67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4D61A2-2A30-427D-BA15-A3CDFF57BA30}">
            <x14:dataBar axisPosition="none">
              <x14:cfvo type="min"/>
              <x14:cfvo type="max"/>
              <x14:negativeFillColor rgb="FF2E86AB"/>
            </x14:dataBar>
          </x14:cfRule>
          <xm:sqref>N2:N674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8"/>
  <sheetViews>
    <sheetView zoomScaleNormal="100" workbookViewId="0"/>
  </sheetViews>
  <sheetFormatPr defaultColWidth="8.6640625" defaultRowHeight="14.4" x14ac:dyDescent="0.3"/>
  <sheetData>
    <row r="1" spans="1:2" ht="15" customHeight="1" x14ac:dyDescent="0.3">
      <c r="A1" s="27" t="s">
        <v>3288</v>
      </c>
    </row>
    <row r="2" spans="1:2" ht="15" customHeight="1" x14ac:dyDescent="0.3">
      <c r="A2" s="28" t="s">
        <v>41</v>
      </c>
      <c r="B2" s="28" t="s">
        <v>3289</v>
      </c>
    </row>
    <row r="3" spans="1:2" ht="15" customHeight="1" x14ac:dyDescent="0.3">
      <c r="A3" t="s">
        <v>71</v>
      </c>
      <c r="B3">
        <v>474</v>
      </c>
    </row>
    <row r="4" spans="1:2" ht="15" customHeight="1" x14ac:dyDescent="0.3">
      <c r="A4" t="s">
        <v>124</v>
      </c>
      <c r="B4">
        <v>156</v>
      </c>
    </row>
    <row r="5" spans="1:2" ht="15" customHeight="1" x14ac:dyDescent="0.3">
      <c r="A5" t="s">
        <v>135</v>
      </c>
      <c r="B5">
        <v>154</v>
      </c>
    </row>
    <row r="6" spans="1:2" ht="15" customHeight="1" x14ac:dyDescent="0.3">
      <c r="A6" t="s">
        <v>96</v>
      </c>
      <c r="B6">
        <v>134</v>
      </c>
    </row>
    <row r="7" spans="1:2" ht="15" customHeight="1" x14ac:dyDescent="0.3">
      <c r="A7" t="s">
        <v>172</v>
      </c>
      <c r="B7">
        <v>134</v>
      </c>
    </row>
    <row r="8" spans="1:2" ht="15" customHeight="1" x14ac:dyDescent="0.3">
      <c r="A8" t="s">
        <v>3290</v>
      </c>
      <c r="B8">
        <v>93</v>
      </c>
    </row>
    <row r="9" spans="1:2" ht="15" customHeight="1" x14ac:dyDescent="0.3">
      <c r="A9" t="s">
        <v>204</v>
      </c>
      <c r="B9">
        <v>85</v>
      </c>
    </row>
    <row r="10" spans="1:2" ht="15" customHeight="1" x14ac:dyDescent="0.3">
      <c r="A10" t="s">
        <v>3291</v>
      </c>
      <c r="B10">
        <v>83</v>
      </c>
    </row>
    <row r="11" spans="1:2" ht="15" customHeight="1" x14ac:dyDescent="0.3">
      <c r="A11" t="s">
        <v>705</v>
      </c>
      <c r="B11">
        <v>63</v>
      </c>
    </row>
    <row r="12" spans="1:2" ht="15" customHeight="1" x14ac:dyDescent="0.3">
      <c r="A12" t="s">
        <v>572</v>
      </c>
      <c r="B12">
        <v>58</v>
      </c>
    </row>
    <row r="13" spans="1:2" ht="15" customHeight="1" x14ac:dyDescent="0.3">
      <c r="A13" t="s">
        <v>3292</v>
      </c>
      <c r="B13">
        <v>54</v>
      </c>
    </row>
    <row r="14" spans="1:2" ht="15" customHeight="1" x14ac:dyDescent="0.3">
      <c r="A14" t="s">
        <v>3293</v>
      </c>
      <c r="B14">
        <v>52</v>
      </c>
    </row>
    <row r="15" spans="1:2" ht="15" customHeight="1" x14ac:dyDescent="0.3">
      <c r="A15" s="27" t="s">
        <v>3294</v>
      </c>
    </row>
    <row r="16" spans="1:2" ht="15" customHeight="1" x14ac:dyDescent="0.3">
      <c r="A16" s="28" t="s">
        <v>3295</v>
      </c>
      <c r="B16" s="28" t="s">
        <v>3289</v>
      </c>
    </row>
    <row r="17" spans="1:2" ht="15" customHeight="1" x14ac:dyDescent="0.3">
      <c r="A17" t="s">
        <v>3296</v>
      </c>
      <c r="B17">
        <v>315</v>
      </c>
    </row>
    <row r="18" spans="1:2" ht="15" customHeight="1" x14ac:dyDescent="0.3">
      <c r="A18" t="s">
        <v>3297</v>
      </c>
      <c r="B18">
        <v>166</v>
      </c>
    </row>
    <row r="19" spans="1:2" ht="15" customHeight="1" x14ac:dyDescent="0.3">
      <c r="A19" t="s">
        <v>3298</v>
      </c>
      <c r="B19">
        <v>96</v>
      </c>
    </row>
    <row r="20" spans="1:2" ht="15" customHeight="1" x14ac:dyDescent="0.3">
      <c r="A20" t="s">
        <v>3299</v>
      </c>
      <c r="B20">
        <v>51</v>
      </c>
    </row>
    <row r="21" spans="1:2" ht="15" customHeight="1" x14ac:dyDescent="0.3">
      <c r="A21" t="s">
        <v>3300</v>
      </c>
      <c r="B21">
        <v>27</v>
      </c>
    </row>
    <row r="22" spans="1:2" ht="15" customHeight="1" x14ac:dyDescent="0.3">
      <c r="A22" t="s">
        <v>3301</v>
      </c>
      <c r="B22">
        <v>10</v>
      </c>
    </row>
    <row r="23" spans="1:2" ht="15" customHeight="1" x14ac:dyDescent="0.3">
      <c r="A23" t="s">
        <v>3302</v>
      </c>
      <c r="B23">
        <v>6</v>
      </c>
    </row>
    <row r="24" spans="1:2" ht="15" customHeight="1" x14ac:dyDescent="0.3">
      <c r="A24" t="s">
        <v>3303</v>
      </c>
      <c r="B24">
        <v>2</v>
      </c>
    </row>
    <row r="25" spans="1:2" ht="15" customHeight="1" x14ac:dyDescent="0.3">
      <c r="A25" s="27" t="s">
        <v>3304</v>
      </c>
    </row>
    <row r="26" spans="1:2" ht="15" customHeight="1" x14ac:dyDescent="0.3">
      <c r="A26" s="28" t="s">
        <v>62</v>
      </c>
      <c r="B26" s="28" t="s">
        <v>3289</v>
      </c>
    </row>
    <row r="27" spans="1:2" ht="15" customHeight="1" x14ac:dyDescent="0.3">
      <c r="A27" t="s">
        <v>538</v>
      </c>
      <c r="B27">
        <v>6</v>
      </c>
    </row>
    <row r="28" spans="1:2" ht="15" customHeight="1" x14ac:dyDescent="0.3">
      <c r="A28" t="s">
        <v>1066</v>
      </c>
      <c r="B28">
        <v>4</v>
      </c>
    </row>
    <row r="29" spans="1:2" ht="15" customHeight="1" x14ac:dyDescent="0.3">
      <c r="A29" t="s">
        <v>180</v>
      </c>
      <c r="B29">
        <v>8</v>
      </c>
    </row>
    <row r="30" spans="1:2" ht="15" customHeight="1" x14ac:dyDescent="0.3">
      <c r="A30" t="s">
        <v>449</v>
      </c>
      <c r="B30">
        <v>4</v>
      </c>
    </row>
    <row r="31" spans="1:2" ht="15" customHeight="1" x14ac:dyDescent="0.3">
      <c r="A31" t="s">
        <v>1268</v>
      </c>
      <c r="B31">
        <v>8</v>
      </c>
    </row>
    <row r="32" spans="1:2" ht="15" customHeight="1" x14ac:dyDescent="0.3">
      <c r="A32" t="s">
        <v>641</v>
      </c>
      <c r="B32">
        <v>8</v>
      </c>
    </row>
    <row r="33" spans="1:2" ht="15" customHeight="1" x14ac:dyDescent="0.3">
      <c r="A33" t="s">
        <v>329</v>
      </c>
      <c r="B33">
        <v>8</v>
      </c>
    </row>
    <row r="34" spans="1:2" ht="15" customHeight="1" x14ac:dyDescent="0.3">
      <c r="A34" t="s">
        <v>145</v>
      </c>
      <c r="B34">
        <v>12</v>
      </c>
    </row>
    <row r="35" spans="1:2" ht="15" customHeight="1" x14ac:dyDescent="0.3">
      <c r="A35" t="s">
        <v>797</v>
      </c>
      <c r="B35">
        <v>6</v>
      </c>
    </row>
    <row r="36" spans="1:2" ht="15" customHeight="1" x14ac:dyDescent="0.3">
      <c r="A36" t="s">
        <v>417</v>
      </c>
      <c r="B36">
        <v>9</v>
      </c>
    </row>
    <row r="37" spans="1:2" ht="15" customHeight="1" x14ac:dyDescent="0.3">
      <c r="A37" t="s">
        <v>532</v>
      </c>
      <c r="B37">
        <v>8</v>
      </c>
    </row>
    <row r="38" spans="1:2" ht="15" customHeight="1" x14ac:dyDescent="0.3">
      <c r="A38" t="s">
        <v>753</v>
      </c>
      <c r="B38">
        <v>11</v>
      </c>
    </row>
    <row r="39" spans="1:2" ht="15" customHeight="1" x14ac:dyDescent="0.3">
      <c r="A39" t="s">
        <v>502</v>
      </c>
      <c r="B39">
        <v>9</v>
      </c>
    </row>
    <row r="40" spans="1:2" ht="15" customHeight="1" x14ac:dyDescent="0.3">
      <c r="A40" t="s">
        <v>164</v>
      </c>
      <c r="B40">
        <v>18</v>
      </c>
    </row>
    <row r="41" spans="1:2" ht="15" customHeight="1" x14ac:dyDescent="0.3">
      <c r="A41" t="s">
        <v>749</v>
      </c>
      <c r="B41">
        <v>12</v>
      </c>
    </row>
    <row r="42" spans="1:2" ht="15" customHeight="1" x14ac:dyDescent="0.3">
      <c r="A42" t="s">
        <v>465</v>
      </c>
      <c r="B42">
        <v>14</v>
      </c>
    </row>
    <row r="43" spans="1:2" ht="15" customHeight="1" x14ac:dyDescent="0.3">
      <c r="A43" t="s">
        <v>189</v>
      </c>
      <c r="B43">
        <v>6</v>
      </c>
    </row>
    <row r="44" spans="1:2" ht="15" customHeight="1" x14ac:dyDescent="0.3">
      <c r="A44" t="s">
        <v>286</v>
      </c>
      <c r="B44">
        <v>12</v>
      </c>
    </row>
    <row r="45" spans="1:2" ht="15" customHeight="1" x14ac:dyDescent="0.3">
      <c r="A45" t="s">
        <v>116</v>
      </c>
      <c r="B45">
        <v>14</v>
      </c>
    </row>
    <row r="46" spans="1:2" ht="15" customHeight="1" x14ac:dyDescent="0.3">
      <c r="A46" t="s">
        <v>574</v>
      </c>
      <c r="B46">
        <v>14</v>
      </c>
    </row>
    <row r="47" spans="1:2" ht="15" customHeight="1" x14ac:dyDescent="0.3">
      <c r="A47" t="s">
        <v>198</v>
      </c>
      <c r="B47">
        <v>16</v>
      </c>
    </row>
    <row r="48" spans="1:2" ht="15" customHeight="1" x14ac:dyDescent="0.3">
      <c r="A48" t="s">
        <v>68</v>
      </c>
      <c r="B48">
        <v>24</v>
      </c>
    </row>
    <row r="49" spans="1:2" ht="15" customHeight="1" x14ac:dyDescent="0.3">
      <c r="A49" t="s">
        <v>389</v>
      </c>
      <c r="B49">
        <v>15</v>
      </c>
    </row>
    <row r="50" spans="1:2" ht="15" customHeight="1" x14ac:dyDescent="0.3">
      <c r="A50" t="s">
        <v>137</v>
      </c>
      <c r="B50">
        <v>17</v>
      </c>
    </row>
    <row r="51" spans="1:2" ht="15" customHeight="1" x14ac:dyDescent="0.3">
      <c r="A51" t="s">
        <v>77</v>
      </c>
      <c r="B51">
        <v>27</v>
      </c>
    </row>
    <row r="52" spans="1:2" ht="15" customHeight="1" x14ac:dyDescent="0.3">
      <c r="A52" t="s">
        <v>261</v>
      </c>
      <c r="B52">
        <v>13</v>
      </c>
    </row>
    <row r="53" spans="1:2" ht="15" customHeight="1" x14ac:dyDescent="0.3">
      <c r="A53" t="s">
        <v>270</v>
      </c>
      <c r="B53">
        <v>20</v>
      </c>
    </row>
    <row r="54" spans="1:2" ht="15" customHeight="1" x14ac:dyDescent="0.3">
      <c r="A54" t="s">
        <v>87</v>
      </c>
      <c r="B54">
        <v>21</v>
      </c>
    </row>
    <row r="55" spans="1:2" ht="15" customHeight="1" x14ac:dyDescent="0.3">
      <c r="A55" t="s">
        <v>98</v>
      </c>
      <c r="B55">
        <v>17</v>
      </c>
    </row>
    <row r="56" spans="1:2" ht="15" customHeight="1" x14ac:dyDescent="0.3">
      <c r="A56" t="s">
        <v>294</v>
      </c>
      <c r="B56">
        <v>22</v>
      </c>
    </row>
    <row r="57" spans="1:2" ht="15" customHeight="1" x14ac:dyDescent="0.3">
      <c r="A57" t="s">
        <v>126</v>
      </c>
      <c r="B57">
        <v>18</v>
      </c>
    </row>
    <row r="58" spans="1:2" ht="15" customHeight="1" x14ac:dyDescent="0.3">
      <c r="A58" t="s">
        <v>401</v>
      </c>
      <c r="B58">
        <v>14</v>
      </c>
    </row>
    <row r="59" spans="1:2" ht="15" customHeight="1" x14ac:dyDescent="0.3">
      <c r="A59" t="s">
        <v>434</v>
      </c>
      <c r="B59">
        <v>14</v>
      </c>
    </row>
    <row r="60" spans="1:2" ht="15" customHeight="1" x14ac:dyDescent="0.3">
      <c r="A60" t="s">
        <v>107</v>
      </c>
      <c r="B60">
        <v>22</v>
      </c>
    </row>
    <row r="61" spans="1:2" ht="15" customHeight="1" x14ac:dyDescent="0.3">
      <c r="A61" t="s">
        <v>547</v>
      </c>
      <c r="B61">
        <v>28</v>
      </c>
    </row>
    <row r="62" spans="1:2" ht="15" customHeight="1" x14ac:dyDescent="0.3">
      <c r="A62" t="s">
        <v>1001</v>
      </c>
      <c r="B62">
        <v>18</v>
      </c>
    </row>
    <row r="63" spans="1:2" ht="15" customHeight="1" x14ac:dyDescent="0.3">
      <c r="A63" t="s">
        <v>779</v>
      </c>
      <c r="B63">
        <v>19</v>
      </c>
    </row>
    <row r="64" spans="1:2" ht="15" customHeight="1" x14ac:dyDescent="0.3">
      <c r="A64" t="s">
        <v>510</v>
      </c>
      <c r="B64">
        <v>17</v>
      </c>
    </row>
    <row r="65" spans="1:4" ht="15" customHeight="1" x14ac:dyDescent="0.3">
      <c r="A65" t="s">
        <v>206</v>
      </c>
      <c r="B65">
        <v>12</v>
      </c>
    </row>
    <row r="66" spans="1:4" ht="15" customHeight="1" x14ac:dyDescent="0.3">
      <c r="A66" t="s">
        <v>471</v>
      </c>
      <c r="B66">
        <v>14</v>
      </c>
    </row>
    <row r="67" spans="1:4" ht="15" customHeight="1" x14ac:dyDescent="0.3">
      <c r="A67" s="27" t="s">
        <v>3305</v>
      </c>
    </row>
    <row r="68" spans="1:4" ht="15" customHeight="1" x14ac:dyDescent="0.3">
      <c r="A68" s="28" t="s">
        <v>3306</v>
      </c>
      <c r="B68" s="28" t="s">
        <v>3307</v>
      </c>
      <c r="C68" s="28" t="s">
        <v>62</v>
      </c>
      <c r="D68" s="28" t="s">
        <v>41</v>
      </c>
    </row>
    <row r="69" spans="1:4" ht="15" customHeight="1" x14ac:dyDescent="0.3">
      <c r="A69" t="s">
        <v>2111</v>
      </c>
      <c r="B69">
        <v>9.3000000000000007</v>
      </c>
      <c r="C69" t="s">
        <v>749</v>
      </c>
      <c r="D69" t="s">
        <v>71</v>
      </c>
    </row>
    <row r="70" spans="1:4" ht="15" customHeight="1" x14ac:dyDescent="0.3">
      <c r="A70" t="s">
        <v>3247</v>
      </c>
      <c r="B70">
        <v>9.1999999999999993</v>
      </c>
      <c r="C70" t="s">
        <v>2195</v>
      </c>
      <c r="D70" t="s">
        <v>166</v>
      </c>
    </row>
    <row r="71" spans="1:4" ht="15" customHeight="1" x14ac:dyDescent="0.3">
      <c r="A71" t="s">
        <v>2446</v>
      </c>
      <c r="B71">
        <v>9</v>
      </c>
      <c r="C71" t="s">
        <v>98</v>
      </c>
      <c r="D71" t="s">
        <v>90</v>
      </c>
    </row>
    <row r="72" spans="1:4" ht="15" customHeight="1" x14ac:dyDescent="0.3">
      <c r="A72" t="s">
        <v>2889</v>
      </c>
      <c r="B72">
        <v>9</v>
      </c>
      <c r="C72" t="s">
        <v>1527</v>
      </c>
      <c r="D72" t="s">
        <v>166</v>
      </c>
    </row>
    <row r="73" spans="1:4" ht="15" customHeight="1" x14ac:dyDescent="0.3">
      <c r="A73" t="s">
        <v>3149</v>
      </c>
      <c r="B73">
        <v>9</v>
      </c>
      <c r="C73" t="s">
        <v>2659</v>
      </c>
      <c r="D73" t="s">
        <v>166</v>
      </c>
    </row>
    <row r="74" spans="1:4" ht="15" customHeight="1" x14ac:dyDescent="0.3">
      <c r="A74" t="s">
        <v>3076</v>
      </c>
      <c r="B74">
        <v>8.9</v>
      </c>
      <c r="C74" t="s">
        <v>164</v>
      </c>
      <c r="D74" t="s">
        <v>1057</v>
      </c>
    </row>
    <row r="75" spans="1:4" ht="15" customHeight="1" x14ac:dyDescent="0.3">
      <c r="A75" t="s">
        <v>3079</v>
      </c>
      <c r="B75">
        <v>8.9</v>
      </c>
      <c r="C75" t="s">
        <v>749</v>
      </c>
      <c r="D75" t="s">
        <v>166</v>
      </c>
    </row>
    <row r="76" spans="1:4" ht="15" customHeight="1" x14ac:dyDescent="0.3">
      <c r="A76" t="s">
        <v>3081</v>
      </c>
      <c r="B76">
        <v>8.9</v>
      </c>
      <c r="C76" t="s">
        <v>137</v>
      </c>
      <c r="D76" t="s">
        <v>559</v>
      </c>
    </row>
    <row r="77" spans="1:4" ht="15" customHeight="1" x14ac:dyDescent="0.3">
      <c r="A77" t="s">
        <v>853</v>
      </c>
      <c r="B77">
        <v>8.8000000000000007</v>
      </c>
      <c r="C77" t="s">
        <v>574</v>
      </c>
      <c r="D77" t="s">
        <v>71</v>
      </c>
    </row>
    <row r="78" spans="1:4" ht="15" customHeight="1" x14ac:dyDescent="0.3">
      <c r="A78" t="s">
        <v>1567</v>
      </c>
      <c r="B78">
        <v>8.8000000000000007</v>
      </c>
      <c r="C78" t="s">
        <v>126</v>
      </c>
      <c r="D78" t="s">
        <v>148</v>
      </c>
    </row>
    <row r="79" spans="1:4" ht="15" customHeight="1" x14ac:dyDescent="0.3">
      <c r="A79" s="27" t="s">
        <v>3308</v>
      </c>
    </row>
    <row r="80" spans="1:4" ht="15" customHeight="1" x14ac:dyDescent="0.3">
      <c r="A80" s="28" t="s">
        <v>41</v>
      </c>
      <c r="B80" s="28" t="s">
        <v>3309</v>
      </c>
      <c r="C80" s="28" t="s">
        <v>3310</v>
      </c>
      <c r="D80" s="28" t="s">
        <v>3289</v>
      </c>
    </row>
    <row r="81" spans="1:4" ht="15" customHeight="1" x14ac:dyDescent="0.3">
      <c r="A81" t="s">
        <v>96</v>
      </c>
      <c r="B81">
        <v>19457176732</v>
      </c>
      <c r="C81">
        <v>160803113.48760301</v>
      </c>
      <c r="D81">
        <v>121</v>
      </c>
    </row>
    <row r="82" spans="1:4" ht="15" customHeight="1" x14ac:dyDescent="0.3">
      <c r="A82" t="s">
        <v>71</v>
      </c>
      <c r="B82">
        <v>8605498005</v>
      </c>
      <c r="C82">
        <v>48894875.028409101</v>
      </c>
      <c r="D82">
        <v>176</v>
      </c>
    </row>
    <row r="83" spans="1:4" ht="15" customHeight="1" x14ac:dyDescent="0.3">
      <c r="A83" t="s">
        <v>572</v>
      </c>
      <c r="B83">
        <v>7598456071</v>
      </c>
      <c r="C83">
        <v>131007863.29310299</v>
      </c>
      <c r="D83">
        <v>58</v>
      </c>
    </row>
    <row r="84" spans="1:4" ht="15" customHeight="1" x14ac:dyDescent="0.3">
      <c r="A84" t="s">
        <v>124</v>
      </c>
      <c r="B84">
        <v>5173134850</v>
      </c>
      <c r="C84">
        <v>89191980.172413796</v>
      </c>
      <c r="D84">
        <v>58</v>
      </c>
    </row>
    <row r="85" spans="1:4" ht="15" customHeight="1" x14ac:dyDescent="0.3">
      <c r="A85" t="s">
        <v>204</v>
      </c>
      <c r="B85">
        <v>4655889153</v>
      </c>
      <c r="C85">
        <v>65575903.563380301</v>
      </c>
      <c r="D85">
        <v>71</v>
      </c>
    </row>
    <row r="86" spans="1:4" ht="15" customHeight="1" x14ac:dyDescent="0.3">
      <c r="A86" t="s">
        <v>135</v>
      </c>
      <c r="B86">
        <v>4003289245</v>
      </c>
      <c r="C86">
        <v>39636527.178217798</v>
      </c>
      <c r="D86">
        <v>101</v>
      </c>
    </row>
    <row r="87" spans="1:4" ht="15" customHeight="1" x14ac:dyDescent="0.3">
      <c r="A87" t="s">
        <v>172</v>
      </c>
      <c r="B87">
        <v>3075650380</v>
      </c>
      <c r="C87">
        <v>43937862.571428597</v>
      </c>
      <c r="D87">
        <v>70</v>
      </c>
    </row>
    <row r="88" spans="1:4" ht="15" customHeight="1" x14ac:dyDescent="0.3">
      <c r="A88" t="s">
        <v>162</v>
      </c>
      <c r="B88">
        <v>656868704</v>
      </c>
      <c r="C88">
        <v>82108588</v>
      </c>
      <c r="D88">
        <v>8</v>
      </c>
    </row>
    <row r="89" spans="1:4" ht="15" customHeight="1" x14ac:dyDescent="0.3">
      <c r="A89" t="s">
        <v>993</v>
      </c>
      <c r="B89">
        <v>439110554</v>
      </c>
      <c r="C89">
        <v>219555277</v>
      </c>
      <c r="D89">
        <v>2</v>
      </c>
    </row>
    <row r="90" spans="1:4" ht="15" customHeight="1" x14ac:dyDescent="0.3">
      <c r="A90" t="s">
        <v>705</v>
      </c>
      <c r="B90">
        <v>265041904</v>
      </c>
      <c r="C90">
        <v>44173650.666666701</v>
      </c>
      <c r="D90">
        <v>6</v>
      </c>
    </row>
    <row r="91" spans="1:4" ht="15" customHeight="1" x14ac:dyDescent="0.3">
      <c r="A91" t="s">
        <v>1107</v>
      </c>
      <c r="B91">
        <v>37900000</v>
      </c>
      <c r="C91">
        <v>18950000</v>
      </c>
      <c r="D91">
        <v>2</v>
      </c>
    </row>
    <row r="92" spans="1:4" ht="15" customHeight="1" x14ac:dyDescent="0.3">
      <c r="A92" s="27" t="s">
        <v>3311</v>
      </c>
    </row>
    <row r="93" spans="1:4" ht="15" customHeight="1" x14ac:dyDescent="0.3">
      <c r="A93" s="28" t="s">
        <v>3306</v>
      </c>
      <c r="B93" s="28" t="s">
        <v>3312</v>
      </c>
      <c r="C93" s="28" t="s">
        <v>3307</v>
      </c>
      <c r="D93" s="28" t="s">
        <v>41</v>
      </c>
    </row>
    <row r="94" spans="1:4" ht="15" customHeight="1" x14ac:dyDescent="0.3">
      <c r="A94" t="s">
        <v>2179</v>
      </c>
      <c r="B94">
        <v>936662225</v>
      </c>
      <c r="C94">
        <v>7.9</v>
      </c>
      <c r="D94" t="s">
        <v>96</v>
      </c>
    </row>
    <row r="95" spans="1:4" ht="15" customHeight="1" x14ac:dyDescent="0.3">
      <c r="A95" t="s">
        <v>1960</v>
      </c>
      <c r="B95">
        <v>858373000</v>
      </c>
      <c r="C95">
        <v>8.4</v>
      </c>
      <c r="D95" t="s">
        <v>96</v>
      </c>
    </row>
    <row r="96" spans="1:4" ht="15" customHeight="1" x14ac:dyDescent="0.3">
      <c r="A96" t="s">
        <v>2382</v>
      </c>
      <c r="B96">
        <v>760507625</v>
      </c>
      <c r="C96">
        <v>7.8</v>
      </c>
      <c r="D96" t="s">
        <v>96</v>
      </c>
    </row>
    <row r="97" spans="1:4" ht="15" customHeight="1" x14ac:dyDescent="0.3">
      <c r="A97" t="s">
        <v>1022</v>
      </c>
      <c r="B97">
        <v>678815482</v>
      </c>
      <c r="C97">
        <v>8.4</v>
      </c>
      <c r="D97" t="s">
        <v>96</v>
      </c>
    </row>
    <row r="98" spans="1:4" ht="15" customHeight="1" x14ac:dyDescent="0.3">
      <c r="A98" t="s">
        <v>1650</v>
      </c>
      <c r="B98">
        <v>659325379</v>
      </c>
      <c r="C98">
        <v>7.8</v>
      </c>
      <c r="D98" t="s">
        <v>71</v>
      </c>
    </row>
    <row r="99" spans="1:4" ht="15" customHeight="1" x14ac:dyDescent="0.3">
      <c r="A99" t="s">
        <v>1124</v>
      </c>
      <c r="B99">
        <v>623279547</v>
      </c>
      <c r="C99">
        <v>8</v>
      </c>
      <c r="D99" t="s">
        <v>96</v>
      </c>
    </row>
    <row r="100" spans="1:4" ht="15" customHeight="1" x14ac:dyDescent="0.3">
      <c r="A100" t="s">
        <v>2136</v>
      </c>
      <c r="B100">
        <v>608581744</v>
      </c>
      <c r="C100">
        <v>7.6</v>
      </c>
      <c r="D100" t="s">
        <v>572</v>
      </c>
    </row>
    <row r="101" spans="1:4" ht="15" customHeight="1" x14ac:dyDescent="0.3">
      <c r="A101" t="s">
        <v>2446</v>
      </c>
      <c r="B101">
        <v>534858444</v>
      </c>
      <c r="C101">
        <v>9</v>
      </c>
      <c r="D101" t="s">
        <v>96</v>
      </c>
    </row>
    <row r="102" spans="1:4" ht="15" customHeight="1" x14ac:dyDescent="0.3">
      <c r="A102" t="s">
        <v>778</v>
      </c>
      <c r="B102">
        <v>532177324</v>
      </c>
      <c r="C102">
        <v>7.8</v>
      </c>
      <c r="D102" t="s">
        <v>96</v>
      </c>
    </row>
    <row r="103" spans="1:4" ht="15" customHeight="1" x14ac:dyDescent="0.3">
      <c r="A103" t="s">
        <v>1961</v>
      </c>
      <c r="B103">
        <v>448139099</v>
      </c>
      <c r="C103">
        <v>8.4</v>
      </c>
      <c r="D103" t="s">
        <v>96</v>
      </c>
    </row>
    <row r="104" spans="1:4" ht="15" customHeight="1" x14ac:dyDescent="0.3">
      <c r="A104" s="27" t="s">
        <v>3313</v>
      </c>
    </row>
    <row r="105" spans="1:4" ht="15" customHeight="1" x14ac:dyDescent="0.3">
      <c r="A105" s="28" t="s">
        <v>44</v>
      </c>
      <c r="B105" s="28" t="s">
        <v>3314</v>
      </c>
    </row>
    <row r="106" spans="1:4" ht="15" customHeight="1" x14ac:dyDescent="0.3">
      <c r="A106" t="s">
        <v>607</v>
      </c>
      <c r="B106">
        <v>13</v>
      </c>
    </row>
    <row r="107" spans="1:4" ht="15" customHeight="1" x14ac:dyDescent="0.3">
      <c r="A107" t="s">
        <v>701</v>
      </c>
      <c r="B107">
        <v>10</v>
      </c>
    </row>
    <row r="108" spans="1:4" ht="15" customHeight="1" x14ac:dyDescent="0.3">
      <c r="A108" t="s">
        <v>602</v>
      </c>
      <c r="B108">
        <v>8</v>
      </c>
    </row>
    <row r="109" spans="1:4" ht="15" customHeight="1" x14ac:dyDescent="0.3">
      <c r="A109" t="s">
        <v>242</v>
      </c>
      <c r="B109">
        <v>8</v>
      </c>
    </row>
    <row r="110" spans="1:4" ht="15" customHeight="1" x14ac:dyDescent="0.3">
      <c r="A110" t="s">
        <v>847</v>
      </c>
      <c r="B110">
        <v>8</v>
      </c>
    </row>
    <row r="111" spans="1:4" ht="15" customHeight="1" x14ac:dyDescent="0.3">
      <c r="A111" t="s">
        <v>1003</v>
      </c>
      <c r="B111">
        <v>8</v>
      </c>
    </row>
    <row r="112" spans="1:4" ht="15" customHeight="1" x14ac:dyDescent="0.3">
      <c r="A112" t="s">
        <v>1698</v>
      </c>
      <c r="B112">
        <v>8</v>
      </c>
    </row>
    <row r="113" spans="1:2" ht="15" customHeight="1" x14ac:dyDescent="0.3">
      <c r="A113" t="s">
        <v>130</v>
      </c>
      <c r="B113">
        <v>7</v>
      </c>
    </row>
    <row r="114" spans="1:2" ht="15" customHeight="1" x14ac:dyDescent="0.3">
      <c r="A114" t="s">
        <v>1785</v>
      </c>
      <c r="B114">
        <v>7</v>
      </c>
    </row>
    <row r="115" spans="1:2" ht="15" customHeight="1" x14ac:dyDescent="0.3">
      <c r="A115" t="s">
        <v>919</v>
      </c>
      <c r="B115">
        <v>6</v>
      </c>
    </row>
    <row r="116" spans="1:2" ht="15" customHeight="1" x14ac:dyDescent="0.3">
      <c r="A116" t="s">
        <v>1705</v>
      </c>
      <c r="B116">
        <v>6</v>
      </c>
    </row>
    <row r="117" spans="1:2" ht="15" customHeight="1" x14ac:dyDescent="0.3">
      <c r="A117" t="s">
        <v>1813</v>
      </c>
      <c r="B117">
        <v>6</v>
      </c>
    </row>
    <row r="118" spans="1:2" ht="15" customHeight="1" x14ac:dyDescent="0.3">
      <c r="A118" s="27" t="s">
        <v>3315</v>
      </c>
    </row>
    <row r="119" spans="1:2" ht="15" customHeight="1" x14ac:dyDescent="0.3">
      <c r="A119" s="28" t="s">
        <v>3316</v>
      </c>
      <c r="B119" s="28" t="s">
        <v>3317</v>
      </c>
    </row>
    <row r="120" spans="1:2" ht="15" customHeight="1" x14ac:dyDescent="0.3">
      <c r="A120" t="s">
        <v>225</v>
      </c>
      <c r="B120">
        <v>16</v>
      </c>
    </row>
    <row r="121" spans="1:2" ht="15" customHeight="1" x14ac:dyDescent="0.3">
      <c r="A121" t="s">
        <v>578</v>
      </c>
      <c r="B121">
        <v>14</v>
      </c>
    </row>
    <row r="122" spans="1:2" ht="15" customHeight="1" x14ac:dyDescent="0.3">
      <c r="A122" t="s">
        <v>505</v>
      </c>
      <c r="B122">
        <v>13</v>
      </c>
    </row>
    <row r="123" spans="1:2" ht="15" customHeight="1" x14ac:dyDescent="0.3">
      <c r="A123" t="s">
        <v>227</v>
      </c>
      <c r="B123">
        <v>12</v>
      </c>
    </row>
    <row r="124" spans="1:2" ht="15" customHeight="1" x14ac:dyDescent="0.3">
      <c r="A124" t="s">
        <v>590</v>
      </c>
      <c r="B124">
        <v>11</v>
      </c>
    </row>
    <row r="125" spans="1:2" ht="15" customHeight="1" x14ac:dyDescent="0.3">
      <c r="A125" t="s">
        <v>702</v>
      </c>
      <c r="B125">
        <v>11</v>
      </c>
    </row>
    <row r="126" spans="1:2" ht="15" customHeight="1" x14ac:dyDescent="0.3">
      <c r="A126" t="s">
        <v>997</v>
      </c>
      <c r="B126">
        <v>11</v>
      </c>
    </row>
    <row r="127" spans="1:2" ht="15" customHeight="1" x14ac:dyDescent="0.3">
      <c r="A127" t="s">
        <v>120</v>
      </c>
      <c r="B127">
        <v>9</v>
      </c>
    </row>
    <row r="128" spans="1:2" ht="15" customHeight="1" x14ac:dyDescent="0.3">
      <c r="A128" t="s">
        <v>176</v>
      </c>
      <c r="B128">
        <v>9</v>
      </c>
    </row>
    <row r="129" spans="1:2" ht="15" customHeight="1" x14ac:dyDescent="0.3">
      <c r="A129" t="s">
        <v>630</v>
      </c>
      <c r="B129">
        <v>9</v>
      </c>
    </row>
    <row r="130" spans="1:2" ht="15" customHeight="1" x14ac:dyDescent="0.3">
      <c r="A130" t="s">
        <v>242</v>
      </c>
      <c r="B130">
        <v>8</v>
      </c>
    </row>
    <row r="131" spans="1:2" ht="15" customHeight="1" x14ac:dyDescent="0.3">
      <c r="A131" t="s">
        <v>476</v>
      </c>
      <c r="B131">
        <v>8</v>
      </c>
    </row>
    <row r="132" spans="1:2" ht="15" customHeight="1" x14ac:dyDescent="0.3">
      <c r="A132" s="27" t="s">
        <v>3318</v>
      </c>
    </row>
    <row r="133" spans="1:2" ht="15" customHeight="1" x14ac:dyDescent="0.3">
      <c r="A133" s="28" t="s">
        <v>39</v>
      </c>
      <c r="B133" s="28" t="s">
        <v>3289</v>
      </c>
    </row>
    <row r="134" spans="1:2" ht="15" customHeight="1" x14ac:dyDescent="0.3">
      <c r="A134" t="s">
        <v>78</v>
      </c>
      <c r="B134">
        <v>172</v>
      </c>
    </row>
    <row r="135" spans="1:2" ht="15" customHeight="1" x14ac:dyDescent="0.3">
      <c r="A135" t="s">
        <v>146</v>
      </c>
      <c r="B135">
        <v>166</v>
      </c>
    </row>
    <row r="136" spans="1:2" ht="15" customHeight="1" x14ac:dyDescent="0.3">
      <c r="A136" t="s">
        <v>99</v>
      </c>
      <c r="B136">
        <v>136</v>
      </c>
    </row>
    <row r="137" spans="1:2" ht="15" customHeight="1" x14ac:dyDescent="0.3">
      <c r="A137" t="s">
        <v>88</v>
      </c>
      <c r="B137">
        <v>119</v>
      </c>
    </row>
    <row r="138" spans="1:2" ht="15" customHeight="1" x14ac:dyDescent="0.3">
      <c r="A138" t="s">
        <v>69</v>
      </c>
      <c r="B138">
        <v>38</v>
      </c>
    </row>
    <row r="139" spans="1:2" ht="15" customHeight="1" x14ac:dyDescent="0.3">
      <c r="A139" t="s">
        <v>127</v>
      </c>
      <c r="B139">
        <v>18</v>
      </c>
    </row>
    <row r="140" spans="1:2" ht="15" customHeight="1" x14ac:dyDescent="0.3">
      <c r="A140" t="s">
        <v>1542</v>
      </c>
      <c r="B140">
        <v>9</v>
      </c>
    </row>
    <row r="141" spans="1:2" ht="15" customHeight="1" x14ac:dyDescent="0.3">
      <c r="A141" t="s">
        <v>724</v>
      </c>
      <c r="B141">
        <v>8</v>
      </c>
    </row>
    <row r="142" spans="1:2" ht="15" customHeight="1" x14ac:dyDescent="0.3">
      <c r="A142" t="s">
        <v>1372</v>
      </c>
      <c r="B142">
        <v>4</v>
      </c>
    </row>
    <row r="143" spans="1:2" ht="15" customHeight="1" x14ac:dyDescent="0.3">
      <c r="A143" t="s">
        <v>238</v>
      </c>
      <c r="B143">
        <v>1</v>
      </c>
    </row>
    <row r="144" spans="1:2" ht="15" customHeight="1" x14ac:dyDescent="0.3">
      <c r="A144" t="s">
        <v>1229</v>
      </c>
      <c r="B144">
        <v>1</v>
      </c>
    </row>
    <row r="145" spans="1:3" ht="15" customHeight="1" x14ac:dyDescent="0.3">
      <c r="A145" t="s">
        <v>2681</v>
      </c>
      <c r="B145">
        <v>1</v>
      </c>
    </row>
    <row r="146" spans="1:3" ht="15" customHeight="1" x14ac:dyDescent="0.3">
      <c r="A146" s="27" t="s">
        <v>3319</v>
      </c>
    </row>
    <row r="147" spans="1:3" ht="15" customHeight="1" x14ac:dyDescent="0.3">
      <c r="A147" s="28" t="s">
        <v>3320</v>
      </c>
      <c r="B147" s="28" t="s">
        <v>3289</v>
      </c>
    </row>
    <row r="148" spans="1:3" ht="15" customHeight="1" x14ac:dyDescent="0.3">
      <c r="A148" t="s">
        <v>3321</v>
      </c>
      <c r="B148">
        <v>6</v>
      </c>
    </row>
    <row r="149" spans="1:3" ht="15" customHeight="1" x14ac:dyDescent="0.3">
      <c r="A149" t="s">
        <v>3322</v>
      </c>
      <c r="B149">
        <v>109</v>
      </c>
    </row>
    <row r="150" spans="1:3" ht="15" customHeight="1" x14ac:dyDescent="0.3">
      <c r="A150" t="s">
        <v>3323</v>
      </c>
      <c r="B150">
        <v>223</v>
      </c>
    </row>
    <row r="151" spans="1:3" ht="15" customHeight="1" x14ac:dyDescent="0.3">
      <c r="A151" t="s">
        <v>3324</v>
      </c>
      <c r="B151">
        <v>188</v>
      </c>
    </row>
    <row r="152" spans="1:3" ht="15" customHeight="1" x14ac:dyDescent="0.3">
      <c r="A152" t="s">
        <v>3325</v>
      </c>
      <c r="B152">
        <v>82</v>
      </c>
    </row>
    <row r="153" spans="1:3" ht="15" customHeight="1" x14ac:dyDescent="0.3">
      <c r="A153" t="s">
        <v>3326</v>
      </c>
      <c r="B153">
        <v>40</v>
      </c>
    </row>
    <row r="154" spans="1:3" ht="15" customHeight="1" x14ac:dyDescent="0.3">
      <c r="A154" t="s">
        <v>3327</v>
      </c>
      <c r="B154">
        <v>17</v>
      </c>
    </row>
    <row r="155" spans="1:3" ht="15" customHeight="1" x14ac:dyDescent="0.3">
      <c r="A155" t="s">
        <v>3328</v>
      </c>
      <c r="B155">
        <v>8</v>
      </c>
    </row>
    <row r="156" spans="1:3" ht="15" customHeight="1" x14ac:dyDescent="0.3">
      <c r="A156" s="27" t="s">
        <v>3329</v>
      </c>
    </row>
    <row r="157" spans="1:3" ht="15" customHeight="1" x14ac:dyDescent="0.3">
      <c r="A157" s="28" t="s">
        <v>62</v>
      </c>
      <c r="B157" s="28" t="s">
        <v>3330</v>
      </c>
      <c r="C157" s="28" t="s">
        <v>3289</v>
      </c>
    </row>
    <row r="158" spans="1:3" ht="15" customHeight="1" x14ac:dyDescent="0.3">
      <c r="A158">
        <v>1930</v>
      </c>
      <c r="B158">
        <v>8</v>
      </c>
      <c r="C158">
        <v>1</v>
      </c>
    </row>
    <row r="159" spans="1:3" ht="15" customHeight="1" x14ac:dyDescent="0.3">
      <c r="A159">
        <v>1931</v>
      </c>
      <c r="B159">
        <v>8.5</v>
      </c>
      <c r="C159">
        <v>1</v>
      </c>
    </row>
    <row r="160" spans="1:3" ht="15" customHeight="1" x14ac:dyDescent="0.3">
      <c r="A160">
        <v>1933</v>
      </c>
      <c r="B160">
        <v>7.9</v>
      </c>
      <c r="C160">
        <v>1</v>
      </c>
    </row>
    <row r="161" spans="1:3" ht="15" customHeight="1" x14ac:dyDescent="0.3">
      <c r="A161">
        <v>1934</v>
      </c>
      <c r="B161">
        <v>8.1</v>
      </c>
      <c r="C161">
        <v>1</v>
      </c>
    </row>
    <row r="162" spans="1:3" ht="15" customHeight="1" x14ac:dyDescent="0.3">
      <c r="A162">
        <v>1936</v>
      </c>
      <c r="B162">
        <v>8.5</v>
      </c>
      <c r="C162">
        <v>1</v>
      </c>
    </row>
    <row r="163" spans="1:3" ht="15" customHeight="1" x14ac:dyDescent="0.3">
      <c r="A163">
        <v>1938</v>
      </c>
      <c r="B163">
        <v>7.9</v>
      </c>
      <c r="C163">
        <v>1</v>
      </c>
    </row>
    <row r="164" spans="1:3" ht="15" customHeight="1" x14ac:dyDescent="0.3">
      <c r="A164">
        <v>1939</v>
      </c>
      <c r="B164">
        <v>8.07</v>
      </c>
      <c r="C164">
        <v>3</v>
      </c>
    </row>
    <row r="165" spans="1:3" ht="15" customHeight="1" x14ac:dyDescent="0.3">
      <c r="A165">
        <v>1940</v>
      </c>
      <c r="B165">
        <v>8</v>
      </c>
      <c r="C165">
        <v>1</v>
      </c>
    </row>
    <row r="166" spans="1:3" ht="15" customHeight="1" x14ac:dyDescent="0.3">
      <c r="A166">
        <v>1941</v>
      </c>
      <c r="B166">
        <v>8.3000000000000007</v>
      </c>
      <c r="C166">
        <v>1</v>
      </c>
    </row>
    <row r="167" spans="1:3" ht="15" customHeight="1" x14ac:dyDescent="0.3">
      <c r="A167">
        <v>1942</v>
      </c>
      <c r="B167">
        <v>8.5</v>
      </c>
      <c r="C167">
        <v>1</v>
      </c>
    </row>
    <row r="168" spans="1:3" ht="15" customHeight="1" x14ac:dyDescent="0.3">
      <c r="A168">
        <v>1944</v>
      </c>
      <c r="B168">
        <v>8.3000000000000007</v>
      </c>
      <c r="C168">
        <v>1</v>
      </c>
    </row>
    <row r="169" spans="1:3" ht="15" customHeight="1" x14ac:dyDescent="0.3">
      <c r="A169">
        <v>1946</v>
      </c>
      <c r="B169">
        <v>7.95</v>
      </c>
      <c r="C169">
        <v>2</v>
      </c>
    </row>
    <row r="170" spans="1:3" ht="15" customHeight="1" x14ac:dyDescent="0.3">
      <c r="A170">
        <v>1948</v>
      </c>
      <c r="B170">
        <v>8.1999999999999993</v>
      </c>
      <c r="C170">
        <v>1</v>
      </c>
    </row>
    <row r="171" spans="1:3" ht="15" customHeight="1" x14ac:dyDescent="0.3">
      <c r="A171">
        <v>1950</v>
      </c>
      <c r="B171">
        <v>8.1999999999999993</v>
      </c>
      <c r="C171">
        <v>1</v>
      </c>
    </row>
    <row r="172" spans="1:3" ht="15" customHeight="1" x14ac:dyDescent="0.3">
      <c r="A172">
        <v>1951</v>
      </c>
      <c r="B172">
        <v>7.92</v>
      </c>
      <c r="C172">
        <v>4</v>
      </c>
    </row>
    <row r="173" spans="1:3" ht="15" customHeight="1" x14ac:dyDescent="0.3">
      <c r="A173">
        <v>1952</v>
      </c>
      <c r="B173">
        <v>8.1</v>
      </c>
      <c r="C173">
        <v>2</v>
      </c>
    </row>
    <row r="174" spans="1:3" ht="15" customHeight="1" x14ac:dyDescent="0.3">
      <c r="A174">
        <v>1953</v>
      </c>
      <c r="B174">
        <v>7.6</v>
      </c>
      <c r="C174">
        <v>1</v>
      </c>
    </row>
    <row r="175" spans="1:3" ht="15" customHeight="1" x14ac:dyDescent="0.3">
      <c r="A175">
        <v>1954</v>
      </c>
      <c r="B175">
        <v>8.23</v>
      </c>
      <c r="C175">
        <v>3</v>
      </c>
    </row>
    <row r="176" spans="1:3" ht="15" customHeight="1" x14ac:dyDescent="0.3">
      <c r="A176">
        <v>1957</v>
      </c>
      <c r="B176">
        <v>8.5500000000000007</v>
      </c>
      <c r="C176">
        <v>2</v>
      </c>
    </row>
    <row r="177" spans="1:3" ht="15" customHeight="1" x14ac:dyDescent="0.3">
      <c r="A177">
        <v>1958</v>
      </c>
      <c r="B177">
        <v>8.1</v>
      </c>
      <c r="C177">
        <v>3</v>
      </c>
    </row>
    <row r="178" spans="1:3" ht="15" customHeight="1" x14ac:dyDescent="0.3">
      <c r="A178">
        <v>1959</v>
      </c>
      <c r="B178">
        <v>8.15</v>
      </c>
      <c r="C178">
        <v>4</v>
      </c>
    </row>
    <row r="179" spans="1:3" ht="15" customHeight="1" x14ac:dyDescent="0.3">
      <c r="A179">
        <v>1960</v>
      </c>
      <c r="B179">
        <v>8.08</v>
      </c>
      <c r="C179">
        <v>5</v>
      </c>
    </row>
    <row r="180" spans="1:3" ht="15" customHeight="1" x14ac:dyDescent="0.3">
      <c r="A180">
        <v>1961</v>
      </c>
      <c r="B180">
        <v>7.8</v>
      </c>
      <c r="C180">
        <v>1</v>
      </c>
    </row>
    <row r="181" spans="1:3" ht="15" customHeight="1" x14ac:dyDescent="0.3">
      <c r="A181">
        <v>1962</v>
      </c>
      <c r="B181">
        <v>8.07</v>
      </c>
      <c r="C181">
        <v>3</v>
      </c>
    </row>
    <row r="182" spans="1:3" ht="15" customHeight="1" x14ac:dyDescent="0.3">
      <c r="A182">
        <v>1963</v>
      </c>
      <c r="B182">
        <v>7.93</v>
      </c>
      <c r="C182">
        <v>3</v>
      </c>
    </row>
    <row r="183" spans="1:3" ht="15" customHeight="1" x14ac:dyDescent="0.3">
      <c r="A183">
        <v>1964</v>
      </c>
      <c r="B183">
        <v>7.86</v>
      </c>
      <c r="C183">
        <v>5</v>
      </c>
    </row>
    <row r="184" spans="1:3" ht="15" customHeight="1" x14ac:dyDescent="0.3">
      <c r="A184">
        <v>1965</v>
      </c>
      <c r="B184">
        <v>8</v>
      </c>
      <c r="C184">
        <v>2</v>
      </c>
    </row>
    <row r="185" spans="1:3" ht="15" customHeight="1" x14ac:dyDescent="0.3">
      <c r="A185">
        <v>1966</v>
      </c>
      <c r="B185">
        <v>8.25</v>
      </c>
      <c r="C185">
        <v>2</v>
      </c>
    </row>
    <row r="186" spans="1:3" ht="15" customHeight="1" x14ac:dyDescent="0.3">
      <c r="A186">
        <v>1967</v>
      </c>
      <c r="B186">
        <v>7.9</v>
      </c>
      <c r="C186">
        <v>3</v>
      </c>
    </row>
    <row r="187" spans="1:3" ht="15" customHeight="1" x14ac:dyDescent="0.3">
      <c r="A187">
        <v>1968</v>
      </c>
      <c r="B187">
        <v>8</v>
      </c>
      <c r="C187">
        <v>3</v>
      </c>
    </row>
    <row r="188" spans="1:3" ht="15" customHeight="1" x14ac:dyDescent="0.3">
      <c r="A188">
        <v>1969</v>
      </c>
      <c r="B188">
        <v>7.9</v>
      </c>
      <c r="C188">
        <v>3</v>
      </c>
    </row>
    <row r="189" spans="1:3" ht="15" customHeight="1" x14ac:dyDescent="0.3">
      <c r="A189">
        <v>1970</v>
      </c>
      <c r="B189">
        <v>7.83</v>
      </c>
      <c r="C189">
        <v>3</v>
      </c>
    </row>
    <row r="190" spans="1:3" ht="15" customHeight="1" x14ac:dyDescent="0.3">
      <c r="A190">
        <v>1971</v>
      </c>
      <c r="B190">
        <v>7.85</v>
      </c>
      <c r="C190">
        <v>6</v>
      </c>
    </row>
    <row r="191" spans="1:3" ht="15" customHeight="1" x14ac:dyDescent="0.3">
      <c r="A191">
        <v>1972</v>
      </c>
      <c r="B191">
        <v>8.27</v>
      </c>
      <c r="C191">
        <v>3</v>
      </c>
    </row>
    <row r="192" spans="1:3" ht="15" customHeight="1" x14ac:dyDescent="0.3">
      <c r="A192">
        <v>1973</v>
      </c>
      <c r="B192">
        <v>7.92</v>
      </c>
      <c r="C192">
        <v>9</v>
      </c>
    </row>
    <row r="193" spans="1:3" ht="15" customHeight="1" x14ac:dyDescent="0.3">
      <c r="A193">
        <v>1974</v>
      </c>
      <c r="B193">
        <v>8.1199999999999992</v>
      </c>
      <c r="C193">
        <v>4</v>
      </c>
    </row>
    <row r="194" spans="1:3" ht="15" customHeight="1" x14ac:dyDescent="0.3">
      <c r="A194">
        <v>1975</v>
      </c>
      <c r="B194">
        <v>8.2200000000000006</v>
      </c>
      <c r="C194">
        <v>4</v>
      </c>
    </row>
    <row r="195" spans="1:3" ht="15" customHeight="1" x14ac:dyDescent="0.3">
      <c r="A195">
        <v>1976</v>
      </c>
      <c r="B195">
        <v>7.96</v>
      </c>
      <c r="C195">
        <v>5</v>
      </c>
    </row>
    <row r="196" spans="1:3" ht="15" customHeight="1" x14ac:dyDescent="0.3">
      <c r="A196">
        <v>1977</v>
      </c>
      <c r="B196">
        <v>7.8</v>
      </c>
      <c r="C196">
        <v>2</v>
      </c>
    </row>
    <row r="197" spans="1:3" ht="15" customHeight="1" x14ac:dyDescent="0.3">
      <c r="A197">
        <v>1978</v>
      </c>
      <c r="B197">
        <v>7.82</v>
      </c>
      <c r="C197">
        <v>4</v>
      </c>
    </row>
    <row r="198" spans="1:3" ht="15" customHeight="1" x14ac:dyDescent="0.3">
      <c r="A198">
        <v>1979</v>
      </c>
      <c r="B198">
        <v>7.93</v>
      </c>
      <c r="C198">
        <v>7</v>
      </c>
    </row>
    <row r="199" spans="1:3" ht="15" customHeight="1" x14ac:dyDescent="0.3">
      <c r="A199">
        <v>1980</v>
      </c>
      <c r="B199">
        <v>8.1</v>
      </c>
      <c r="C199">
        <v>6</v>
      </c>
    </row>
    <row r="200" spans="1:3" ht="15" customHeight="1" x14ac:dyDescent="0.3">
      <c r="A200">
        <v>1981</v>
      </c>
      <c r="B200">
        <v>7.98</v>
      </c>
      <c r="C200">
        <v>4</v>
      </c>
    </row>
    <row r="201" spans="1:3" ht="15" customHeight="1" x14ac:dyDescent="0.3">
      <c r="A201">
        <v>1982</v>
      </c>
      <c r="B201">
        <v>7.96</v>
      </c>
      <c r="C201">
        <v>8</v>
      </c>
    </row>
    <row r="202" spans="1:3" ht="15" customHeight="1" x14ac:dyDescent="0.3">
      <c r="A202">
        <v>1983</v>
      </c>
      <c r="B202">
        <v>8.08</v>
      </c>
      <c r="C202">
        <v>4</v>
      </c>
    </row>
    <row r="203" spans="1:3" ht="15" customHeight="1" x14ac:dyDescent="0.3">
      <c r="A203">
        <v>1984</v>
      </c>
      <c r="B203">
        <v>7.95</v>
      </c>
      <c r="C203">
        <v>8</v>
      </c>
    </row>
    <row r="204" spans="1:3" ht="15" customHeight="1" x14ac:dyDescent="0.3">
      <c r="A204">
        <v>1985</v>
      </c>
      <c r="B204">
        <v>7.92</v>
      </c>
      <c r="C204">
        <v>8</v>
      </c>
    </row>
    <row r="205" spans="1:3" ht="15" customHeight="1" x14ac:dyDescent="0.3">
      <c r="A205">
        <v>1986</v>
      </c>
      <c r="B205">
        <v>7.92</v>
      </c>
      <c r="C205">
        <v>8</v>
      </c>
    </row>
    <row r="206" spans="1:3" ht="15" customHeight="1" x14ac:dyDescent="0.3">
      <c r="A206">
        <v>1987</v>
      </c>
      <c r="B206">
        <v>7.84</v>
      </c>
      <c r="C206">
        <v>12</v>
      </c>
    </row>
    <row r="207" spans="1:3" ht="15" customHeight="1" x14ac:dyDescent="0.3">
      <c r="A207">
        <v>1988</v>
      </c>
      <c r="B207">
        <v>8.0299999999999994</v>
      </c>
      <c r="C207">
        <v>6</v>
      </c>
    </row>
    <row r="208" spans="1:3" ht="15" customHeight="1" x14ac:dyDescent="0.3">
      <c r="A208">
        <v>1989</v>
      </c>
      <c r="B208">
        <v>7.88</v>
      </c>
      <c r="C208">
        <v>9</v>
      </c>
    </row>
    <row r="209" spans="1:3" ht="15" customHeight="1" x14ac:dyDescent="0.3">
      <c r="A209">
        <v>1990</v>
      </c>
      <c r="B209">
        <v>7.89</v>
      </c>
      <c r="C209">
        <v>8</v>
      </c>
    </row>
    <row r="210" spans="1:3" ht="15" customHeight="1" x14ac:dyDescent="0.3">
      <c r="A210">
        <v>1991</v>
      </c>
      <c r="B210">
        <v>7.92</v>
      </c>
      <c r="C210">
        <v>11</v>
      </c>
    </row>
    <row r="211" spans="1:3" ht="15" customHeight="1" x14ac:dyDescent="0.3">
      <c r="A211">
        <v>1992</v>
      </c>
      <c r="B211">
        <v>7.84</v>
      </c>
      <c r="C211">
        <v>9</v>
      </c>
    </row>
    <row r="212" spans="1:3" ht="15" customHeight="1" x14ac:dyDescent="0.3">
      <c r="A212">
        <v>1993</v>
      </c>
      <c r="B212">
        <v>7.91</v>
      </c>
      <c r="C212">
        <v>18</v>
      </c>
    </row>
    <row r="213" spans="1:3" ht="15" customHeight="1" x14ac:dyDescent="0.3">
      <c r="A213">
        <v>1994</v>
      </c>
      <c r="B213">
        <v>8.24</v>
      </c>
      <c r="C213">
        <v>12</v>
      </c>
    </row>
    <row r="214" spans="1:3" ht="15" customHeight="1" x14ac:dyDescent="0.3">
      <c r="A214">
        <v>1995</v>
      </c>
      <c r="B214">
        <v>8.02</v>
      </c>
      <c r="C214">
        <v>14</v>
      </c>
    </row>
    <row r="215" spans="1:3" ht="15" customHeight="1" x14ac:dyDescent="0.3">
      <c r="A215">
        <v>1996</v>
      </c>
      <c r="B215">
        <v>7.88</v>
      </c>
      <c r="C215">
        <v>6</v>
      </c>
    </row>
    <row r="216" spans="1:3" ht="15" customHeight="1" x14ac:dyDescent="0.3">
      <c r="A216">
        <v>1997</v>
      </c>
      <c r="B216">
        <v>8.02</v>
      </c>
      <c r="C216">
        <v>12</v>
      </c>
    </row>
    <row r="217" spans="1:3" ht="15" customHeight="1" x14ac:dyDescent="0.3">
      <c r="A217">
        <v>1998</v>
      </c>
      <c r="B217">
        <v>7.96</v>
      </c>
      <c r="C217">
        <v>14</v>
      </c>
    </row>
    <row r="218" spans="1:3" ht="15" customHeight="1" x14ac:dyDescent="0.3">
      <c r="A218">
        <v>1999</v>
      </c>
      <c r="B218">
        <v>8.06</v>
      </c>
      <c r="C218">
        <v>14</v>
      </c>
    </row>
    <row r="219" spans="1:3" ht="15" customHeight="1" x14ac:dyDescent="0.3">
      <c r="A219">
        <v>2000</v>
      </c>
      <c r="B219">
        <v>7.98</v>
      </c>
      <c r="C219">
        <v>16</v>
      </c>
    </row>
    <row r="220" spans="1:3" ht="15" customHeight="1" x14ac:dyDescent="0.3">
      <c r="A220">
        <v>2001</v>
      </c>
      <c r="B220">
        <v>7.88</v>
      </c>
      <c r="C220">
        <v>24</v>
      </c>
    </row>
    <row r="221" spans="1:3" ht="15" customHeight="1" x14ac:dyDescent="0.3">
      <c r="A221">
        <v>2002</v>
      </c>
      <c r="B221">
        <v>7.93</v>
      </c>
      <c r="C221">
        <v>15</v>
      </c>
    </row>
    <row r="222" spans="1:3" ht="15" customHeight="1" x14ac:dyDescent="0.3">
      <c r="A222">
        <v>2003</v>
      </c>
      <c r="B222">
        <v>7.95</v>
      </c>
      <c r="C222">
        <v>17</v>
      </c>
    </row>
    <row r="223" spans="1:3" ht="15" customHeight="1" x14ac:dyDescent="0.3">
      <c r="A223">
        <v>2004</v>
      </c>
      <c r="B223">
        <v>7.87</v>
      </c>
      <c r="C223">
        <v>27</v>
      </c>
    </row>
    <row r="224" spans="1:3" ht="15" customHeight="1" x14ac:dyDescent="0.3">
      <c r="A224">
        <v>2005</v>
      </c>
      <c r="B224">
        <v>7.85</v>
      </c>
      <c r="C224">
        <v>13</v>
      </c>
    </row>
    <row r="225" spans="1:3" ht="15" customHeight="1" x14ac:dyDescent="0.3">
      <c r="A225">
        <v>2006</v>
      </c>
      <c r="B225">
        <v>7.88</v>
      </c>
      <c r="C225">
        <v>20</v>
      </c>
    </row>
    <row r="226" spans="1:3" ht="15" customHeight="1" x14ac:dyDescent="0.3">
      <c r="A226">
        <v>2007</v>
      </c>
      <c r="B226">
        <v>7.85</v>
      </c>
      <c r="C226">
        <v>21</v>
      </c>
    </row>
    <row r="227" spans="1:3" ht="15" customHeight="1" x14ac:dyDescent="0.3">
      <c r="A227">
        <v>2008</v>
      </c>
      <c r="B227">
        <v>7.94</v>
      </c>
      <c r="C227">
        <v>17</v>
      </c>
    </row>
    <row r="228" spans="1:3" ht="15" customHeight="1" x14ac:dyDescent="0.3">
      <c r="A228">
        <v>2009</v>
      </c>
      <c r="B228">
        <v>7.84</v>
      </c>
      <c r="C228">
        <v>22</v>
      </c>
    </row>
    <row r="229" spans="1:3" ht="15" customHeight="1" x14ac:dyDescent="0.3">
      <c r="A229">
        <v>2010</v>
      </c>
      <c r="B229">
        <v>7.9</v>
      </c>
      <c r="C229">
        <v>18</v>
      </c>
    </row>
    <row r="230" spans="1:3" ht="15" customHeight="1" x14ac:dyDescent="0.3">
      <c r="A230">
        <v>2011</v>
      </c>
      <c r="B230">
        <v>7.89</v>
      </c>
      <c r="C230">
        <v>14</v>
      </c>
    </row>
    <row r="231" spans="1:3" ht="15" customHeight="1" x14ac:dyDescent="0.3">
      <c r="A231">
        <v>2012</v>
      </c>
      <c r="B231">
        <v>7.92</v>
      </c>
      <c r="C231">
        <v>14</v>
      </c>
    </row>
    <row r="232" spans="1:3" ht="15" customHeight="1" x14ac:dyDescent="0.3">
      <c r="A232">
        <v>2013</v>
      </c>
      <c r="B232">
        <v>7.87</v>
      </c>
      <c r="C232">
        <v>22</v>
      </c>
    </row>
    <row r="233" spans="1:3" ht="15" customHeight="1" x14ac:dyDescent="0.3">
      <c r="A233">
        <v>2014</v>
      </c>
      <c r="B233">
        <v>7.9</v>
      </c>
      <c r="C233">
        <v>28</v>
      </c>
    </row>
    <row r="234" spans="1:3" ht="15" customHeight="1" x14ac:dyDescent="0.3">
      <c r="A234">
        <v>2015</v>
      </c>
      <c r="B234">
        <v>7.83</v>
      </c>
      <c r="C234">
        <v>18</v>
      </c>
    </row>
    <row r="235" spans="1:3" ht="15" customHeight="1" x14ac:dyDescent="0.3">
      <c r="A235">
        <v>2016</v>
      </c>
      <c r="B235">
        <v>7.91</v>
      </c>
      <c r="C235">
        <v>19</v>
      </c>
    </row>
    <row r="236" spans="1:3" ht="15" customHeight="1" x14ac:dyDescent="0.3">
      <c r="A236">
        <v>2017</v>
      </c>
      <c r="B236">
        <v>7.84</v>
      </c>
      <c r="C236">
        <v>17</v>
      </c>
    </row>
    <row r="237" spans="1:3" ht="15" customHeight="1" x14ac:dyDescent="0.3">
      <c r="A237">
        <v>2018</v>
      </c>
      <c r="B237">
        <v>7.95</v>
      </c>
      <c r="C237">
        <v>12</v>
      </c>
    </row>
    <row r="238" spans="1:3" ht="15" customHeight="1" x14ac:dyDescent="0.3">
      <c r="A238">
        <v>2019</v>
      </c>
      <c r="B238">
        <v>8.02</v>
      </c>
      <c r="C238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"/>
  <sheetViews>
    <sheetView zoomScaleNormal="100" workbookViewId="0"/>
  </sheetViews>
  <sheetFormatPr defaultColWidth="8.6640625" defaultRowHeight="14.4" x14ac:dyDescent="0.3"/>
  <sheetData>
    <row r="1" spans="1:2" ht="15" customHeight="1" x14ac:dyDescent="0.3">
      <c r="A1" t="s">
        <v>42</v>
      </c>
      <c r="B1" t="s">
        <v>43</v>
      </c>
    </row>
    <row r="2" spans="1:2" ht="15" customHeight="1" x14ac:dyDescent="0.3">
      <c r="A2">
        <v>7.7</v>
      </c>
      <c r="B2">
        <v>28</v>
      </c>
    </row>
    <row r="3" spans="1:2" ht="15" customHeight="1" x14ac:dyDescent="0.3">
      <c r="A3">
        <v>7.6</v>
      </c>
      <c r="B3">
        <v>30</v>
      </c>
    </row>
    <row r="4" spans="1:2" ht="15" customHeight="1" x14ac:dyDescent="0.3">
      <c r="A4">
        <v>8</v>
      </c>
      <c r="B4">
        <v>33</v>
      </c>
    </row>
    <row r="5" spans="1:2" ht="15" customHeight="1" x14ac:dyDescent="0.3">
      <c r="A5">
        <v>7.6</v>
      </c>
      <c r="B5">
        <v>36</v>
      </c>
    </row>
    <row r="6" spans="1:2" ht="15" customHeight="1" x14ac:dyDescent="0.3">
      <c r="A6">
        <v>7.7</v>
      </c>
      <c r="B6">
        <v>40</v>
      </c>
    </row>
    <row r="7" spans="1:2" ht="15" customHeight="1" x14ac:dyDescent="0.3">
      <c r="A7">
        <v>7.6</v>
      </c>
      <c r="B7">
        <v>41</v>
      </c>
    </row>
    <row r="8" spans="1:2" ht="15" customHeight="1" x14ac:dyDescent="0.3">
      <c r="A8">
        <v>7.7</v>
      </c>
      <c r="B8">
        <v>45</v>
      </c>
    </row>
    <row r="9" spans="1:2" ht="15" customHeight="1" x14ac:dyDescent="0.3">
      <c r="A9">
        <v>7.6</v>
      </c>
      <c r="B9">
        <v>45</v>
      </c>
    </row>
    <row r="10" spans="1:2" ht="15" customHeight="1" x14ac:dyDescent="0.3">
      <c r="A10">
        <v>7.8</v>
      </c>
      <c r="B10">
        <v>45</v>
      </c>
    </row>
    <row r="11" spans="1:2" ht="15" customHeight="1" x14ac:dyDescent="0.3">
      <c r="A11">
        <v>7.6</v>
      </c>
      <c r="B11">
        <v>46</v>
      </c>
    </row>
    <row r="12" spans="1:2" ht="15" customHeight="1" x14ac:dyDescent="0.3">
      <c r="A12">
        <v>8</v>
      </c>
      <c r="B12">
        <v>47</v>
      </c>
    </row>
    <row r="13" spans="1:2" ht="15" customHeight="1" x14ac:dyDescent="0.3">
      <c r="A13">
        <v>7.7</v>
      </c>
      <c r="B13">
        <v>47</v>
      </c>
    </row>
    <row r="14" spans="1:2" ht="15" customHeight="1" x14ac:dyDescent="0.3">
      <c r="A14">
        <v>8.1</v>
      </c>
      <c r="B14">
        <v>47</v>
      </c>
    </row>
    <row r="15" spans="1:2" ht="15" customHeight="1" x14ac:dyDescent="0.3">
      <c r="A15">
        <v>7.7</v>
      </c>
      <c r="B15">
        <v>47</v>
      </c>
    </row>
    <row r="16" spans="1:2" ht="15" customHeight="1" x14ac:dyDescent="0.3">
      <c r="A16">
        <v>7.8</v>
      </c>
      <c r="B16">
        <v>48</v>
      </c>
    </row>
    <row r="17" spans="1:2" ht="15" customHeight="1" x14ac:dyDescent="0.3">
      <c r="A17">
        <v>8</v>
      </c>
      <c r="B17">
        <v>49</v>
      </c>
    </row>
    <row r="18" spans="1:2" ht="15" customHeight="1" x14ac:dyDescent="0.3">
      <c r="A18">
        <v>7.8</v>
      </c>
      <c r="B18">
        <v>49</v>
      </c>
    </row>
    <row r="19" spans="1:2" ht="15" customHeight="1" x14ac:dyDescent="0.3">
      <c r="A19">
        <v>7.6</v>
      </c>
      <c r="B19">
        <v>49</v>
      </c>
    </row>
    <row r="20" spans="1:2" ht="15" customHeight="1" x14ac:dyDescent="0.3">
      <c r="A20">
        <v>8</v>
      </c>
      <c r="B20">
        <v>50</v>
      </c>
    </row>
    <row r="21" spans="1:2" ht="15" customHeight="1" x14ac:dyDescent="0.3">
      <c r="A21">
        <v>7.6</v>
      </c>
      <c r="B21">
        <v>50</v>
      </c>
    </row>
    <row r="22" spans="1:2" ht="15" customHeight="1" x14ac:dyDescent="0.3">
      <c r="A22">
        <v>7.8</v>
      </c>
      <c r="B22">
        <v>50</v>
      </c>
    </row>
    <row r="23" spans="1:2" ht="15" customHeight="1" x14ac:dyDescent="0.3">
      <c r="A23">
        <v>7.8</v>
      </c>
      <c r="B23">
        <v>51</v>
      </c>
    </row>
    <row r="24" spans="1:2" ht="15" customHeight="1" x14ac:dyDescent="0.3">
      <c r="A24">
        <v>7.8</v>
      </c>
      <c r="B24">
        <v>51</v>
      </c>
    </row>
    <row r="25" spans="1:2" ht="15" customHeight="1" x14ac:dyDescent="0.3">
      <c r="A25">
        <v>7.6</v>
      </c>
      <c r="B25">
        <v>52</v>
      </c>
    </row>
    <row r="26" spans="1:2" ht="15" customHeight="1" x14ac:dyDescent="0.3">
      <c r="A26">
        <v>7.6</v>
      </c>
      <c r="B26">
        <v>52</v>
      </c>
    </row>
    <row r="27" spans="1:2" ht="15" customHeight="1" x14ac:dyDescent="0.3">
      <c r="A27">
        <v>7.7</v>
      </c>
      <c r="B27">
        <v>52</v>
      </c>
    </row>
    <row r="28" spans="1:2" ht="15" customHeight="1" x14ac:dyDescent="0.3">
      <c r="A28">
        <v>7.6</v>
      </c>
      <c r="B28">
        <v>53</v>
      </c>
    </row>
    <row r="29" spans="1:2" ht="15" customHeight="1" x14ac:dyDescent="0.3">
      <c r="A29">
        <v>7.8</v>
      </c>
      <c r="B29">
        <v>53</v>
      </c>
    </row>
    <row r="30" spans="1:2" ht="15" customHeight="1" x14ac:dyDescent="0.3">
      <c r="A30">
        <v>7.6</v>
      </c>
      <c r="B30">
        <v>53</v>
      </c>
    </row>
    <row r="31" spans="1:2" ht="15" customHeight="1" x14ac:dyDescent="0.3">
      <c r="A31">
        <v>7.7</v>
      </c>
      <c r="B31">
        <v>53</v>
      </c>
    </row>
    <row r="32" spans="1:2" ht="15" customHeight="1" x14ac:dyDescent="0.3">
      <c r="A32">
        <v>8</v>
      </c>
      <c r="B32">
        <v>54</v>
      </c>
    </row>
    <row r="33" spans="1:2" ht="15" customHeight="1" x14ac:dyDescent="0.3">
      <c r="A33">
        <v>7.7</v>
      </c>
      <c r="B33">
        <v>54</v>
      </c>
    </row>
    <row r="34" spans="1:2" ht="15" customHeight="1" x14ac:dyDescent="0.3">
      <c r="A34">
        <v>7.8</v>
      </c>
      <c r="B34">
        <v>55</v>
      </c>
    </row>
    <row r="35" spans="1:2" ht="15" customHeight="1" x14ac:dyDescent="0.3">
      <c r="A35">
        <v>8.3000000000000007</v>
      </c>
      <c r="B35">
        <v>55</v>
      </c>
    </row>
    <row r="36" spans="1:2" ht="15" customHeight="1" x14ac:dyDescent="0.3">
      <c r="A36">
        <v>7.8</v>
      </c>
      <c r="B36">
        <v>55</v>
      </c>
    </row>
    <row r="37" spans="1:2" ht="15" customHeight="1" x14ac:dyDescent="0.3">
      <c r="A37">
        <v>7.7</v>
      </c>
      <c r="B37">
        <v>55</v>
      </c>
    </row>
    <row r="38" spans="1:2" ht="15" customHeight="1" x14ac:dyDescent="0.3">
      <c r="A38">
        <v>7.8</v>
      </c>
      <c r="B38">
        <v>55</v>
      </c>
    </row>
    <row r="39" spans="1:2" ht="15" customHeight="1" x14ac:dyDescent="0.3">
      <c r="A39">
        <v>7.9</v>
      </c>
      <c r="B39">
        <v>56</v>
      </c>
    </row>
    <row r="40" spans="1:2" ht="15" customHeight="1" x14ac:dyDescent="0.3">
      <c r="A40">
        <v>7.6</v>
      </c>
      <c r="B40">
        <v>56</v>
      </c>
    </row>
    <row r="41" spans="1:2" ht="15" customHeight="1" x14ac:dyDescent="0.3">
      <c r="A41">
        <v>7.6</v>
      </c>
      <c r="B41">
        <v>56</v>
      </c>
    </row>
    <row r="42" spans="1:2" ht="15" customHeight="1" x14ac:dyDescent="0.3">
      <c r="A42">
        <v>7.6</v>
      </c>
      <c r="B42">
        <v>56</v>
      </c>
    </row>
    <row r="43" spans="1:2" ht="15" customHeight="1" x14ac:dyDescent="0.3">
      <c r="A43">
        <v>7.6</v>
      </c>
      <c r="B43">
        <v>57</v>
      </c>
    </row>
    <row r="44" spans="1:2" ht="15" customHeight="1" x14ac:dyDescent="0.3">
      <c r="A44">
        <v>8.5</v>
      </c>
      <c r="B44">
        <v>57</v>
      </c>
    </row>
    <row r="45" spans="1:2" ht="15" customHeight="1" x14ac:dyDescent="0.3">
      <c r="A45">
        <v>8.1</v>
      </c>
      <c r="B45">
        <v>57</v>
      </c>
    </row>
    <row r="46" spans="1:2" ht="15" customHeight="1" x14ac:dyDescent="0.3">
      <c r="A46">
        <v>7.8</v>
      </c>
      <c r="B46">
        <v>57</v>
      </c>
    </row>
    <row r="47" spans="1:2" ht="15" customHeight="1" x14ac:dyDescent="0.3">
      <c r="A47">
        <v>8</v>
      </c>
      <c r="B47">
        <v>58</v>
      </c>
    </row>
    <row r="48" spans="1:2" ht="15" customHeight="1" x14ac:dyDescent="0.3">
      <c r="A48">
        <v>7.8</v>
      </c>
      <c r="B48">
        <v>58</v>
      </c>
    </row>
    <row r="49" spans="1:2" ht="15" customHeight="1" x14ac:dyDescent="0.3">
      <c r="A49">
        <v>8.1</v>
      </c>
      <c r="B49">
        <v>58</v>
      </c>
    </row>
    <row r="50" spans="1:2" ht="15" customHeight="1" x14ac:dyDescent="0.3">
      <c r="A50">
        <v>8.3000000000000007</v>
      </c>
      <c r="B50">
        <v>58</v>
      </c>
    </row>
    <row r="51" spans="1:2" ht="15" customHeight="1" x14ac:dyDescent="0.3">
      <c r="A51">
        <v>8</v>
      </c>
      <c r="B51">
        <v>58</v>
      </c>
    </row>
    <row r="52" spans="1:2" ht="15" customHeight="1" x14ac:dyDescent="0.3">
      <c r="A52">
        <v>7.6</v>
      </c>
      <c r="B52">
        <v>58</v>
      </c>
    </row>
    <row r="53" spans="1:2" ht="15" customHeight="1" x14ac:dyDescent="0.3">
      <c r="A53">
        <v>7.9</v>
      </c>
      <c r="B53">
        <v>58</v>
      </c>
    </row>
    <row r="54" spans="1:2" ht="15" customHeight="1" x14ac:dyDescent="0.3">
      <c r="A54">
        <v>7.9</v>
      </c>
      <c r="B54">
        <v>59</v>
      </c>
    </row>
    <row r="55" spans="1:2" ht="15" customHeight="1" x14ac:dyDescent="0.3">
      <c r="A55">
        <v>7.6</v>
      </c>
      <c r="B55">
        <v>59</v>
      </c>
    </row>
    <row r="56" spans="1:2" ht="15" customHeight="1" x14ac:dyDescent="0.3">
      <c r="A56">
        <v>8.5</v>
      </c>
      <c r="B56">
        <v>59</v>
      </c>
    </row>
    <row r="57" spans="1:2" ht="15" customHeight="1" x14ac:dyDescent="0.3">
      <c r="A57">
        <v>8.6</v>
      </c>
      <c r="B57">
        <v>59</v>
      </c>
    </row>
    <row r="58" spans="1:2" ht="15" customHeight="1" x14ac:dyDescent="0.3">
      <c r="A58">
        <v>8</v>
      </c>
      <c r="B58">
        <v>59</v>
      </c>
    </row>
    <row r="59" spans="1:2" ht="15" customHeight="1" x14ac:dyDescent="0.3">
      <c r="A59">
        <v>7.6</v>
      </c>
      <c r="B59">
        <v>60</v>
      </c>
    </row>
    <row r="60" spans="1:2" ht="15" customHeight="1" x14ac:dyDescent="0.3">
      <c r="A60">
        <v>8</v>
      </c>
      <c r="B60">
        <v>60</v>
      </c>
    </row>
    <row r="61" spans="1:2" ht="15" customHeight="1" x14ac:dyDescent="0.3">
      <c r="A61">
        <v>7.7</v>
      </c>
      <c r="B61">
        <v>60</v>
      </c>
    </row>
    <row r="62" spans="1:2" ht="15" customHeight="1" x14ac:dyDescent="0.3">
      <c r="A62">
        <v>7.6</v>
      </c>
      <c r="B62">
        <v>60</v>
      </c>
    </row>
    <row r="63" spans="1:2" ht="15" customHeight="1" x14ac:dyDescent="0.3">
      <c r="A63">
        <v>7.9</v>
      </c>
      <c r="B63">
        <v>60</v>
      </c>
    </row>
    <row r="64" spans="1:2" ht="15" customHeight="1" x14ac:dyDescent="0.3">
      <c r="A64">
        <v>7.7</v>
      </c>
      <c r="B64">
        <v>60</v>
      </c>
    </row>
    <row r="65" spans="1:2" ht="15" customHeight="1" x14ac:dyDescent="0.3">
      <c r="A65">
        <v>7.8</v>
      </c>
      <c r="B65">
        <v>61</v>
      </c>
    </row>
    <row r="66" spans="1:2" ht="15" customHeight="1" x14ac:dyDescent="0.3">
      <c r="A66">
        <v>7.8</v>
      </c>
      <c r="B66">
        <v>61</v>
      </c>
    </row>
    <row r="67" spans="1:2" ht="15" customHeight="1" x14ac:dyDescent="0.3">
      <c r="A67">
        <v>7.9</v>
      </c>
      <c r="B67">
        <v>61</v>
      </c>
    </row>
    <row r="68" spans="1:2" ht="15" customHeight="1" x14ac:dyDescent="0.3">
      <c r="A68">
        <v>8.6</v>
      </c>
      <c r="B68">
        <v>61</v>
      </c>
    </row>
    <row r="69" spans="1:2" ht="15" customHeight="1" x14ac:dyDescent="0.3">
      <c r="A69">
        <v>8</v>
      </c>
      <c r="B69">
        <v>61</v>
      </c>
    </row>
    <row r="70" spans="1:2" ht="15" customHeight="1" x14ac:dyDescent="0.3">
      <c r="A70">
        <v>7.7</v>
      </c>
      <c r="B70">
        <v>61</v>
      </c>
    </row>
    <row r="71" spans="1:2" ht="15" customHeight="1" x14ac:dyDescent="0.3">
      <c r="A71">
        <v>7.7</v>
      </c>
      <c r="B71">
        <v>61</v>
      </c>
    </row>
    <row r="72" spans="1:2" ht="15" customHeight="1" x14ac:dyDescent="0.3">
      <c r="A72">
        <v>7.8</v>
      </c>
      <c r="B72">
        <v>61</v>
      </c>
    </row>
    <row r="73" spans="1:2" ht="15" customHeight="1" x14ac:dyDescent="0.3">
      <c r="A73">
        <v>7.7</v>
      </c>
      <c r="B73">
        <v>62</v>
      </c>
    </row>
    <row r="74" spans="1:2" ht="15" customHeight="1" x14ac:dyDescent="0.3">
      <c r="A74">
        <v>7.7</v>
      </c>
      <c r="B74">
        <v>62</v>
      </c>
    </row>
    <row r="75" spans="1:2" ht="15" customHeight="1" x14ac:dyDescent="0.3">
      <c r="A75">
        <v>8</v>
      </c>
      <c r="B75">
        <v>62</v>
      </c>
    </row>
    <row r="76" spans="1:2" ht="15" customHeight="1" x14ac:dyDescent="0.3">
      <c r="A76">
        <v>7.8</v>
      </c>
      <c r="B76">
        <v>62</v>
      </c>
    </row>
    <row r="77" spans="1:2" ht="15" customHeight="1" x14ac:dyDescent="0.3">
      <c r="A77">
        <v>7.6</v>
      </c>
      <c r="B77">
        <v>62</v>
      </c>
    </row>
    <row r="78" spans="1:2" ht="15" customHeight="1" x14ac:dyDescent="0.3">
      <c r="A78">
        <v>7.7</v>
      </c>
      <c r="B78">
        <v>62</v>
      </c>
    </row>
    <row r="79" spans="1:2" ht="15" customHeight="1" x14ac:dyDescent="0.3">
      <c r="A79">
        <v>7.8</v>
      </c>
      <c r="B79">
        <v>62</v>
      </c>
    </row>
    <row r="80" spans="1:2" ht="15" customHeight="1" x14ac:dyDescent="0.3">
      <c r="A80">
        <v>8.1999999999999993</v>
      </c>
      <c r="B80">
        <v>62</v>
      </c>
    </row>
    <row r="81" spans="1:2" ht="15" customHeight="1" x14ac:dyDescent="0.3">
      <c r="A81">
        <v>7.6</v>
      </c>
      <c r="B81">
        <v>62</v>
      </c>
    </row>
    <row r="82" spans="1:2" ht="15" customHeight="1" x14ac:dyDescent="0.3">
      <c r="A82">
        <v>8.5</v>
      </c>
      <c r="B82">
        <v>62</v>
      </c>
    </row>
    <row r="83" spans="1:2" ht="15" customHeight="1" x14ac:dyDescent="0.3">
      <c r="A83">
        <v>7.8</v>
      </c>
      <c r="B83">
        <v>63</v>
      </c>
    </row>
    <row r="84" spans="1:2" ht="15" customHeight="1" x14ac:dyDescent="0.3">
      <c r="A84">
        <v>7.6</v>
      </c>
      <c r="B84">
        <v>63</v>
      </c>
    </row>
    <row r="85" spans="1:2" ht="15" customHeight="1" x14ac:dyDescent="0.3">
      <c r="A85">
        <v>8</v>
      </c>
      <c r="B85">
        <v>63</v>
      </c>
    </row>
    <row r="86" spans="1:2" ht="15" customHeight="1" x14ac:dyDescent="0.3">
      <c r="A86">
        <v>8</v>
      </c>
      <c r="B86">
        <v>63</v>
      </c>
    </row>
    <row r="87" spans="1:2" ht="15" customHeight="1" x14ac:dyDescent="0.3">
      <c r="A87">
        <v>7.7</v>
      </c>
      <c r="B87">
        <v>63</v>
      </c>
    </row>
    <row r="88" spans="1:2" ht="15" customHeight="1" x14ac:dyDescent="0.3">
      <c r="A88">
        <v>8.1999999999999993</v>
      </c>
      <c r="B88">
        <v>63</v>
      </c>
    </row>
    <row r="89" spans="1:2" ht="15" customHeight="1" x14ac:dyDescent="0.3">
      <c r="A89">
        <v>7.9</v>
      </c>
      <c r="B89">
        <v>64</v>
      </c>
    </row>
    <row r="90" spans="1:2" ht="15" customHeight="1" x14ac:dyDescent="0.3">
      <c r="A90">
        <v>8</v>
      </c>
      <c r="B90">
        <v>64</v>
      </c>
    </row>
    <row r="91" spans="1:2" ht="15" customHeight="1" x14ac:dyDescent="0.3">
      <c r="A91">
        <v>8.1</v>
      </c>
      <c r="B91">
        <v>64</v>
      </c>
    </row>
    <row r="92" spans="1:2" ht="15" customHeight="1" x14ac:dyDescent="0.3">
      <c r="A92">
        <v>7.7</v>
      </c>
      <c r="B92">
        <v>64</v>
      </c>
    </row>
    <row r="93" spans="1:2" ht="15" customHeight="1" x14ac:dyDescent="0.3">
      <c r="A93">
        <v>8.1</v>
      </c>
      <c r="B93">
        <v>64</v>
      </c>
    </row>
    <row r="94" spans="1:2" ht="15" customHeight="1" x14ac:dyDescent="0.3">
      <c r="A94">
        <v>7.6</v>
      </c>
      <c r="B94">
        <v>64</v>
      </c>
    </row>
    <row r="95" spans="1:2" ht="15" customHeight="1" x14ac:dyDescent="0.3">
      <c r="A95">
        <v>7.8</v>
      </c>
      <c r="B95">
        <v>64</v>
      </c>
    </row>
    <row r="96" spans="1:2" ht="15" customHeight="1" x14ac:dyDescent="0.3">
      <c r="A96">
        <v>8.5</v>
      </c>
      <c r="B96">
        <v>64</v>
      </c>
    </row>
    <row r="97" spans="1:2" ht="15" customHeight="1" x14ac:dyDescent="0.3">
      <c r="A97">
        <v>7.7</v>
      </c>
      <c r="B97">
        <v>64</v>
      </c>
    </row>
    <row r="98" spans="1:2" ht="15" customHeight="1" x14ac:dyDescent="0.3">
      <c r="A98">
        <v>8</v>
      </c>
      <c r="B98">
        <v>64</v>
      </c>
    </row>
    <row r="99" spans="1:2" ht="15" customHeight="1" x14ac:dyDescent="0.3">
      <c r="A99">
        <v>7.6</v>
      </c>
      <c r="B99">
        <v>64</v>
      </c>
    </row>
    <row r="100" spans="1:2" ht="15" customHeight="1" x14ac:dyDescent="0.3">
      <c r="A100">
        <v>7.6</v>
      </c>
      <c r="B100">
        <v>65</v>
      </c>
    </row>
    <row r="101" spans="1:2" ht="15" customHeight="1" x14ac:dyDescent="0.3">
      <c r="A101">
        <v>7.8</v>
      </c>
      <c r="B101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Dashboard</vt:lpstr>
      <vt:lpstr>Financial Dashboard</vt:lpstr>
      <vt:lpstr>Deep Dive Analysis</vt:lpstr>
      <vt:lpstr>Interactive Controls</vt:lpstr>
      <vt:lpstr>RawData</vt:lpstr>
      <vt:lpstr>_HelperData</vt:lpstr>
      <vt:lpstr>_ScatterData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Karan Dalai</cp:lastModifiedBy>
  <cp:revision>7</cp:revision>
  <dcterms:created xsi:type="dcterms:W3CDTF">2026-03-18T10:42:05Z</dcterms:created>
  <dcterms:modified xsi:type="dcterms:W3CDTF">2026-03-18T11:38:28Z</dcterms:modified>
  <dc:language>en-US</dc:language>
</cp:coreProperties>
</file>